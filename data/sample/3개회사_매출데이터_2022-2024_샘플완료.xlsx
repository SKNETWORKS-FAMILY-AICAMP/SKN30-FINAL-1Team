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aebae/Desktop/샘플데이터/"/>
    </mc:Choice>
  </mc:AlternateContent>
  <xr:revisionPtr revIDLastSave="0" documentId="13_ncr:1_{369F83B8-AF72-0B4B-828C-B0497EA4064C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품목리스트" sheetId="1" r:id="rId1"/>
    <sheet name="레이저메디텍" sheetId="2" r:id="rId2"/>
    <sheet name="루미나레이저" sheetId="3" r:id="rId3"/>
    <sheet name="프로레이저솔루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" i="4" l="1"/>
  <c r="J108" i="4"/>
  <c r="K108" i="4" s="1"/>
  <c r="L108" i="4" s="1"/>
  <c r="J107" i="4"/>
  <c r="K107" i="4" s="1"/>
  <c r="L107" i="4" s="1"/>
  <c r="J106" i="4"/>
  <c r="K106" i="4" s="1"/>
  <c r="L106" i="4" s="1"/>
  <c r="J105" i="4"/>
  <c r="K105" i="4" s="1"/>
  <c r="L105" i="4" s="1"/>
  <c r="J104" i="4"/>
  <c r="K104" i="4" s="1"/>
  <c r="L104" i="4" s="1"/>
  <c r="J103" i="4"/>
  <c r="K103" i="4" s="1"/>
  <c r="L103" i="4" s="1"/>
  <c r="J102" i="4"/>
  <c r="K102" i="4" s="1"/>
  <c r="L102" i="4" s="1"/>
  <c r="J101" i="4"/>
  <c r="K101" i="4" s="1"/>
  <c r="L101" i="4" s="1"/>
  <c r="J100" i="4"/>
  <c r="K100" i="4" s="1"/>
  <c r="L100" i="4" s="1"/>
  <c r="J99" i="4"/>
  <c r="K99" i="4" s="1"/>
  <c r="L99" i="4" s="1"/>
  <c r="J98" i="4"/>
  <c r="K98" i="4" s="1"/>
  <c r="L98" i="4" s="1"/>
  <c r="J97" i="4"/>
  <c r="K97" i="4" s="1"/>
  <c r="L97" i="4" s="1"/>
  <c r="J96" i="4"/>
  <c r="K96" i="4" s="1"/>
  <c r="L96" i="4" s="1"/>
  <c r="J95" i="4"/>
  <c r="K95" i="4" s="1"/>
  <c r="L95" i="4" s="1"/>
  <c r="J94" i="4"/>
  <c r="K94" i="4" s="1"/>
  <c r="L94" i="4" s="1"/>
  <c r="J93" i="4"/>
  <c r="K93" i="4" s="1"/>
  <c r="L93" i="4" s="1"/>
  <c r="J92" i="4"/>
  <c r="K92" i="4" s="1"/>
  <c r="L92" i="4" s="1"/>
  <c r="J91" i="4"/>
  <c r="K91" i="4" s="1"/>
  <c r="L91" i="4" s="1"/>
  <c r="J90" i="4"/>
  <c r="K90" i="4" s="1"/>
  <c r="L90" i="4" s="1"/>
  <c r="J89" i="4"/>
  <c r="K89" i="4" s="1"/>
  <c r="L89" i="4" s="1"/>
  <c r="J88" i="4"/>
  <c r="K88" i="4" s="1"/>
  <c r="L88" i="4" s="1"/>
  <c r="J87" i="4"/>
  <c r="K87" i="4" s="1"/>
  <c r="L87" i="4" s="1"/>
  <c r="J86" i="4"/>
  <c r="K86" i="4" s="1"/>
  <c r="L86" i="4" s="1"/>
  <c r="J85" i="4"/>
  <c r="K85" i="4" s="1"/>
  <c r="L85" i="4" s="1"/>
  <c r="J84" i="4"/>
  <c r="K84" i="4" s="1"/>
  <c r="L84" i="4" s="1"/>
  <c r="J83" i="4"/>
  <c r="K83" i="4" s="1"/>
  <c r="L83" i="4" s="1"/>
  <c r="J82" i="4"/>
  <c r="K82" i="4" s="1"/>
  <c r="L82" i="4" s="1"/>
  <c r="J81" i="4"/>
  <c r="K81" i="4" s="1"/>
  <c r="L81" i="4" s="1"/>
  <c r="K80" i="4"/>
  <c r="L80" i="4" s="1"/>
  <c r="J80" i="4"/>
  <c r="J79" i="4"/>
  <c r="K79" i="4" s="1"/>
  <c r="L79" i="4" s="1"/>
  <c r="J78" i="4"/>
  <c r="K78" i="4" s="1"/>
  <c r="L78" i="4" s="1"/>
  <c r="J77" i="4"/>
  <c r="K77" i="4" s="1"/>
  <c r="L77" i="4" s="1"/>
  <c r="J76" i="4"/>
  <c r="K76" i="4" s="1"/>
  <c r="L76" i="4" s="1"/>
  <c r="J75" i="4"/>
  <c r="K75" i="4" s="1"/>
  <c r="L75" i="4" s="1"/>
  <c r="J74" i="4"/>
  <c r="K74" i="4" s="1"/>
  <c r="L74" i="4" s="1"/>
  <c r="J73" i="4"/>
  <c r="K73" i="4" s="1"/>
  <c r="L73" i="4" s="1"/>
  <c r="J72" i="4"/>
  <c r="K72" i="4" s="1"/>
  <c r="L72" i="4" s="1"/>
  <c r="J71" i="4"/>
  <c r="K71" i="4" s="1"/>
  <c r="L71" i="4" s="1"/>
  <c r="J70" i="4"/>
  <c r="K70" i="4" s="1"/>
  <c r="L70" i="4" s="1"/>
  <c r="J69" i="4"/>
  <c r="K69" i="4" s="1"/>
  <c r="L69" i="4" s="1"/>
  <c r="J68" i="4"/>
  <c r="K68" i="4" s="1"/>
  <c r="L68" i="4" s="1"/>
  <c r="J67" i="4"/>
  <c r="K67" i="4" s="1"/>
  <c r="L67" i="4" s="1"/>
  <c r="J66" i="4"/>
  <c r="K66" i="4" s="1"/>
  <c r="L66" i="4" s="1"/>
  <c r="J65" i="4"/>
  <c r="K65" i="4" s="1"/>
  <c r="L65" i="4" s="1"/>
  <c r="J64" i="4"/>
  <c r="K64" i="4" s="1"/>
  <c r="L64" i="4" s="1"/>
  <c r="J63" i="4"/>
  <c r="K63" i="4" s="1"/>
  <c r="L63" i="4" s="1"/>
  <c r="J62" i="4"/>
  <c r="K62" i="4" s="1"/>
  <c r="L62" i="4" s="1"/>
  <c r="J61" i="4"/>
  <c r="K61" i="4" s="1"/>
  <c r="L61" i="4" s="1"/>
  <c r="K60" i="4"/>
  <c r="L60" i="4" s="1"/>
  <c r="J60" i="4"/>
  <c r="J59" i="4"/>
  <c r="K59" i="4" s="1"/>
  <c r="L59" i="4" s="1"/>
  <c r="J58" i="4"/>
  <c r="K58" i="4" s="1"/>
  <c r="L58" i="4" s="1"/>
  <c r="J57" i="4"/>
  <c r="K57" i="4" s="1"/>
  <c r="L57" i="4" s="1"/>
  <c r="J56" i="4"/>
  <c r="K56" i="4" s="1"/>
  <c r="L56" i="4" s="1"/>
  <c r="J55" i="4"/>
  <c r="K55" i="4" s="1"/>
  <c r="L55" i="4" s="1"/>
  <c r="K54" i="4"/>
  <c r="L54" i="4" s="1"/>
  <c r="J54" i="4"/>
  <c r="J53" i="4"/>
  <c r="K53" i="4" s="1"/>
  <c r="L53" i="4" s="1"/>
  <c r="J52" i="4"/>
  <c r="K52" i="4" s="1"/>
  <c r="L52" i="4" s="1"/>
  <c r="J51" i="4"/>
  <c r="K51" i="4" s="1"/>
  <c r="L51" i="4" s="1"/>
  <c r="J50" i="4"/>
  <c r="K50" i="4" s="1"/>
  <c r="L50" i="4" s="1"/>
  <c r="K49" i="4"/>
  <c r="L49" i="4" s="1"/>
  <c r="J49" i="4"/>
  <c r="J48" i="4"/>
  <c r="K48" i="4" s="1"/>
  <c r="L48" i="4" s="1"/>
  <c r="J47" i="4"/>
  <c r="K47" i="4" s="1"/>
  <c r="L47" i="4" s="1"/>
  <c r="J46" i="4"/>
  <c r="K46" i="4" s="1"/>
  <c r="L46" i="4" s="1"/>
  <c r="J45" i="4"/>
  <c r="K45" i="4" s="1"/>
  <c r="L45" i="4" s="1"/>
  <c r="J44" i="4"/>
  <c r="K44" i="4" s="1"/>
  <c r="L44" i="4" s="1"/>
  <c r="K43" i="4"/>
  <c r="L43" i="4" s="1"/>
  <c r="J43" i="4"/>
  <c r="J42" i="4"/>
  <c r="K42" i="4" s="1"/>
  <c r="L42" i="4" s="1"/>
  <c r="J41" i="4"/>
  <c r="K41" i="4" s="1"/>
  <c r="L41" i="4" s="1"/>
  <c r="J40" i="4"/>
  <c r="K40" i="4" s="1"/>
  <c r="L40" i="4" s="1"/>
  <c r="J39" i="4"/>
  <c r="K39" i="4" s="1"/>
  <c r="L39" i="4" s="1"/>
  <c r="J38" i="4"/>
  <c r="K38" i="4" s="1"/>
  <c r="L38" i="4" s="1"/>
  <c r="J37" i="4"/>
  <c r="K37" i="4" s="1"/>
  <c r="L37" i="4" s="1"/>
  <c r="J36" i="4"/>
  <c r="K36" i="4" s="1"/>
  <c r="L36" i="4" s="1"/>
  <c r="J35" i="4"/>
  <c r="K35" i="4" s="1"/>
  <c r="L35" i="4" s="1"/>
  <c r="J34" i="4"/>
  <c r="K34" i="4" s="1"/>
  <c r="L34" i="4" s="1"/>
  <c r="J33" i="4"/>
  <c r="K33" i="4" s="1"/>
  <c r="L33" i="4" s="1"/>
  <c r="J32" i="4"/>
  <c r="K32" i="4" s="1"/>
  <c r="L32" i="4" s="1"/>
  <c r="J31" i="4"/>
  <c r="K31" i="4" s="1"/>
  <c r="L31" i="4" s="1"/>
  <c r="J30" i="4"/>
  <c r="K30" i="4" s="1"/>
  <c r="L30" i="4" s="1"/>
  <c r="J29" i="4"/>
  <c r="K29" i="4" s="1"/>
  <c r="L29" i="4" s="1"/>
  <c r="J28" i="4"/>
  <c r="K28" i="4" s="1"/>
  <c r="L28" i="4" s="1"/>
  <c r="J27" i="4"/>
  <c r="K27" i="4" s="1"/>
  <c r="L27" i="4" s="1"/>
  <c r="J26" i="4"/>
  <c r="K26" i="4" s="1"/>
  <c r="L26" i="4" s="1"/>
  <c r="J25" i="4"/>
  <c r="K25" i="4" s="1"/>
  <c r="L25" i="4" s="1"/>
  <c r="J24" i="4"/>
  <c r="K24" i="4" s="1"/>
  <c r="L24" i="4" s="1"/>
  <c r="J23" i="4"/>
  <c r="K23" i="4" s="1"/>
  <c r="L23" i="4" s="1"/>
  <c r="J22" i="4"/>
  <c r="K22" i="4" s="1"/>
  <c r="L22" i="4" s="1"/>
  <c r="J21" i="4"/>
  <c r="K21" i="4" s="1"/>
  <c r="L21" i="4" s="1"/>
  <c r="J20" i="4"/>
  <c r="K20" i="4" s="1"/>
  <c r="L20" i="4" s="1"/>
  <c r="J19" i="4"/>
  <c r="K19" i="4" s="1"/>
  <c r="L19" i="4" s="1"/>
  <c r="J18" i="4"/>
  <c r="K18" i="4" s="1"/>
  <c r="L18" i="4" s="1"/>
  <c r="J17" i="4"/>
  <c r="K17" i="4" s="1"/>
  <c r="L17" i="4" s="1"/>
  <c r="J16" i="4"/>
  <c r="K16" i="4" s="1"/>
  <c r="L16" i="4" s="1"/>
  <c r="J15" i="4"/>
  <c r="K15" i="4" s="1"/>
  <c r="L15" i="4" s="1"/>
  <c r="J14" i="4"/>
  <c r="K14" i="4" s="1"/>
  <c r="L14" i="4" s="1"/>
  <c r="J13" i="4"/>
  <c r="K13" i="4" s="1"/>
  <c r="L13" i="4" s="1"/>
  <c r="J12" i="4"/>
  <c r="K12" i="4" s="1"/>
  <c r="L12" i="4" s="1"/>
  <c r="J11" i="4"/>
  <c r="K11" i="4" s="1"/>
  <c r="L11" i="4" s="1"/>
  <c r="J10" i="4"/>
  <c r="K10" i="4" s="1"/>
  <c r="L10" i="4" s="1"/>
  <c r="J9" i="4"/>
  <c r="K9" i="4" s="1"/>
  <c r="L9" i="4" s="1"/>
  <c r="J8" i="4"/>
  <c r="K8" i="4" s="1"/>
  <c r="L8" i="4" s="1"/>
  <c r="J7" i="4"/>
  <c r="K7" i="4" s="1"/>
  <c r="I109" i="3"/>
  <c r="J108" i="3"/>
  <c r="K108" i="3" s="1"/>
  <c r="L108" i="3" s="1"/>
  <c r="J107" i="3"/>
  <c r="K107" i="3" s="1"/>
  <c r="L107" i="3" s="1"/>
  <c r="J106" i="3"/>
  <c r="K106" i="3" s="1"/>
  <c r="L106" i="3" s="1"/>
  <c r="J105" i="3"/>
  <c r="K105" i="3" s="1"/>
  <c r="L105" i="3" s="1"/>
  <c r="J104" i="3"/>
  <c r="K104" i="3" s="1"/>
  <c r="L104" i="3" s="1"/>
  <c r="J103" i="3"/>
  <c r="K103" i="3" s="1"/>
  <c r="L103" i="3" s="1"/>
  <c r="J102" i="3"/>
  <c r="K102" i="3" s="1"/>
  <c r="L102" i="3" s="1"/>
  <c r="J101" i="3"/>
  <c r="K101" i="3" s="1"/>
  <c r="L101" i="3" s="1"/>
  <c r="J100" i="3"/>
  <c r="K100" i="3" s="1"/>
  <c r="L100" i="3" s="1"/>
  <c r="J99" i="3"/>
  <c r="K99" i="3" s="1"/>
  <c r="L99" i="3" s="1"/>
  <c r="J98" i="3"/>
  <c r="K98" i="3" s="1"/>
  <c r="L98" i="3" s="1"/>
  <c r="J97" i="3"/>
  <c r="K97" i="3" s="1"/>
  <c r="L97" i="3" s="1"/>
  <c r="J96" i="3"/>
  <c r="K96" i="3" s="1"/>
  <c r="L96" i="3" s="1"/>
  <c r="J95" i="3"/>
  <c r="K95" i="3" s="1"/>
  <c r="L95" i="3" s="1"/>
  <c r="J94" i="3"/>
  <c r="K94" i="3" s="1"/>
  <c r="L94" i="3" s="1"/>
  <c r="J93" i="3"/>
  <c r="K93" i="3" s="1"/>
  <c r="L93" i="3" s="1"/>
  <c r="J92" i="3"/>
  <c r="K92" i="3" s="1"/>
  <c r="L92" i="3" s="1"/>
  <c r="J91" i="3"/>
  <c r="K91" i="3" s="1"/>
  <c r="L91" i="3" s="1"/>
  <c r="J90" i="3"/>
  <c r="K90" i="3" s="1"/>
  <c r="L90" i="3" s="1"/>
  <c r="J89" i="3"/>
  <c r="K89" i="3" s="1"/>
  <c r="L89" i="3" s="1"/>
  <c r="J88" i="3"/>
  <c r="K88" i="3" s="1"/>
  <c r="L88" i="3" s="1"/>
  <c r="J87" i="3"/>
  <c r="K87" i="3" s="1"/>
  <c r="L87" i="3" s="1"/>
  <c r="J86" i="3"/>
  <c r="K86" i="3" s="1"/>
  <c r="L86" i="3" s="1"/>
  <c r="J85" i="3"/>
  <c r="K85" i="3" s="1"/>
  <c r="L85" i="3" s="1"/>
  <c r="J84" i="3"/>
  <c r="K84" i="3" s="1"/>
  <c r="L84" i="3" s="1"/>
  <c r="J83" i="3"/>
  <c r="K83" i="3" s="1"/>
  <c r="L83" i="3" s="1"/>
  <c r="J82" i="3"/>
  <c r="K82" i="3" s="1"/>
  <c r="L82" i="3" s="1"/>
  <c r="J81" i="3"/>
  <c r="K81" i="3" s="1"/>
  <c r="L81" i="3" s="1"/>
  <c r="J80" i="3"/>
  <c r="K80" i="3" s="1"/>
  <c r="L80" i="3" s="1"/>
  <c r="J79" i="3"/>
  <c r="K79" i="3" s="1"/>
  <c r="L79" i="3" s="1"/>
  <c r="J78" i="3"/>
  <c r="K78" i="3" s="1"/>
  <c r="L78" i="3" s="1"/>
  <c r="J77" i="3"/>
  <c r="K77" i="3" s="1"/>
  <c r="L77" i="3" s="1"/>
  <c r="J76" i="3"/>
  <c r="K76" i="3" s="1"/>
  <c r="L76" i="3" s="1"/>
  <c r="J75" i="3"/>
  <c r="K75" i="3" s="1"/>
  <c r="L75" i="3" s="1"/>
  <c r="J74" i="3"/>
  <c r="K74" i="3" s="1"/>
  <c r="L74" i="3" s="1"/>
  <c r="J73" i="3"/>
  <c r="K73" i="3" s="1"/>
  <c r="L73" i="3" s="1"/>
  <c r="J72" i="3"/>
  <c r="K72" i="3" s="1"/>
  <c r="L72" i="3" s="1"/>
  <c r="J71" i="3"/>
  <c r="K71" i="3" s="1"/>
  <c r="L71" i="3" s="1"/>
  <c r="J70" i="3"/>
  <c r="K70" i="3" s="1"/>
  <c r="L70" i="3" s="1"/>
  <c r="J69" i="3"/>
  <c r="K69" i="3" s="1"/>
  <c r="L69" i="3" s="1"/>
  <c r="J68" i="3"/>
  <c r="K68" i="3" s="1"/>
  <c r="L68" i="3" s="1"/>
  <c r="J67" i="3"/>
  <c r="K67" i="3" s="1"/>
  <c r="L67" i="3" s="1"/>
  <c r="K66" i="3"/>
  <c r="L66" i="3" s="1"/>
  <c r="J66" i="3"/>
  <c r="J65" i="3"/>
  <c r="K65" i="3" s="1"/>
  <c r="L65" i="3" s="1"/>
  <c r="J64" i="3"/>
  <c r="K64" i="3" s="1"/>
  <c r="L64" i="3" s="1"/>
  <c r="J63" i="3"/>
  <c r="K63" i="3" s="1"/>
  <c r="L63" i="3" s="1"/>
  <c r="J62" i="3"/>
  <c r="K62" i="3" s="1"/>
  <c r="L62" i="3" s="1"/>
  <c r="J61" i="3"/>
  <c r="K61" i="3" s="1"/>
  <c r="L61" i="3" s="1"/>
  <c r="J60" i="3"/>
  <c r="K60" i="3" s="1"/>
  <c r="L60" i="3" s="1"/>
  <c r="J59" i="3"/>
  <c r="K59" i="3" s="1"/>
  <c r="L59" i="3" s="1"/>
  <c r="J58" i="3"/>
  <c r="K58" i="3" s="1"/>
  <c r="L58" i="3" s="1"/>
  <c r="J57" i="3"/>
  <c r="K57" i="3" s="1"/>
  <c r="L57" i="3" s="1"/>
  <c r="J56" i="3"/>
  <c r="K56" i="3" s="1"/>
  <c r="L56" i="3" s="1"/>
  <c r="J55" i="3"/>
  <c r="K55" i="3" s="1"/>
  <c r="L55" i="3" s="1"/>
  <c r="J54" i="3"/>
  <c r="K54" i="3" s="1"/>
  <c r="L54" i="3" s="1"/>
  <c r="J53" i="3"/>
  <c r="K53" i="3" s="1"/>
  <c r="L53" i="3" s="1"/>
  <c r="J52" i="3"/>
  <c r="K52" i="3" s="1"/>
  <c r="L52" i="3" s="1"/>
  <c r="J51" i="3"/>
  <c r="K51" i="3" s="1"/>
  <c r="L51" i="3" s="1"/>
  <c r="J50" i="3"/>
  <c r="K50" i="3" s="1"/>
  <c r="L50" i="3" s="1"/>
  <c r="J49" i="3"/>
  <c r="K49" i="3" s="1"/>
  <c r="L49" i="3" s="1"/>
  <c r="J48" i="3"/>
  <c r="K48" i="3" s="1"/>
  <c r="L48" i="3" s="1"/>
  <c r="J47" i="3"/>
  <c r="K47" i="3" s="1"/>
  <c r="L47" i="3" s="1"/>
  <c r="J46" i="3"/>
  <c r="K46" i="3" s="1"/>
  <c r="L46" i="3" s="1"/>
  <c r="J45" i="3"/>
  <c r="K45" i="3" s="1"/>
  <c r="L45" i="3" s="1"/>
  <c r="J44" i="3"/>
  <c r="K44" i="3" s="1"/>
  <c r="L44" i="3" s="1"/>
  <c r="J43" i="3"/>
  <c r="K43" i="3" s="1"/>
  <c r="L43" i="3" s="1"/>
  <c r="J42" i="3"/>
  <c r="K42" i="3" s="1"/>
  <c r="L42" i="3" s="1"/>
  <c r="J41" i="3"/>
  <c r="K41" i="3" s="1"/>
  <c r="L41" i="3" s="1"/>
  <c r="J40" i="3"/>
  <c r="K40" i="3" s="1"/>
  <c r="L40" i="3" s="1"/>
  <c r="J39" i="3"/>
  <c r="K39" i="3" s="1"/>
  <c r="L39" i="3" s="1"/>
  <c r="J38" i="3"/>
  <c r="K38" i="3" s="1"/>
  <c r="L38" i="3" s="1"/>
  <c r="J37" i="3"/>
  <c r="K37" i="3" s="1"/>
  <c r="L37" i="3" s="1"/>
  <c r="J36" i="3"/>
  <c r="K36" i="3" s="1"/>
  <c r="L36" i="3" s="1"/>
  <c r="J35" i="3"/>
  <c r="K35" i="3" s="1"/>
  <c r="L35" i="3" s="1"/>
  <c r="J34" i="3"/>
  <c r="K34" i="3" s="1"/>
  <c r="L34" i="3" s="1"/>
  <c r="J33" i="3"/>
  <c r="K33" i="3" s="1"/>
  <c r="L33" i="3" s="1"/>
  <c r="J32" i="3"/>
  <c r="K32" i="3" s="1"/>
  <c r="L32" i="3" s="1"/>
  <c r="J31" i="3"/>
  <c r="K31" i="3" s="1"/>
  <c r="L31" i="3" s="1"/>
  <c r="J30" i="3"/>
  <c r="K30" i="3" s="1"/>
  <c r="L30" i="3" s="1"/>
  <c r="J29" i="3"/>
  <c r="K29" i="3" s="1"/>
  <c r="L29" i="3" s="1"/>
  <c r="J28" i="3"/>
  <c r="K28" i="3" s="1"/>
  <c r="L28" i="3" s="1"/>
  <c r="J27" i="3"/>
  <c r="K27" i="3" s="1"/>
  <c r="L27" i="3" s="1"/>
  <c r="J26" i="3"/>
  <c r="K26" i="3" s="1"/>
  <c r="L26" i="3" s="1"/>
  <c r="J25" i="3"/>
  <c r="K25" i="3" s="1"/>
  <c r="L25" i="3" s="1"/>
  <c r="J24" i="3"/>
  <c r="K24" i="3" s="1"/>
  <c r="L24" i="3" s="1"/>
  <c r="J23" i="3"/>
  <c r="K23" i="3" s="1"/>
  <c r="L23" i="3" s="1"/>
  <c r="J22" i="3"/>
  <c r="K22" i="3" s="1"/>
  <c r="L22" i="3" s="1"/>
  <c r="J21" i="3"/>
  <c r="K21" i="3" s="1"/>
  <c r="L21" i="3" s="1"/>
  <c r="J20" i="3"/>
  <c r="K20" i="3" s="1"/>
  <c r="L20" i="3" s="1"/>
  <c r="J19" i="3"/>
  <c r="K19" i="3" s="1"/>
  <c r="L19" i="3" s="1"/>
  <c r="J18" i="3"/>
  <c r="K18" i="3" s="1"/>
  <c r="L18" i="3" s="1"/>
  <c r="J17" i="3"/>
  <c r="K17" i="3" s="1"/>
  <c r="L17" i="3" s="1"/>
  <c r="J16" i="3"/>
  <c r="K16" i="3" s="1"/>
  <c r="L16" i="3" s="1"/>
  <c r="J15" i="3"/>
  <c r="K15" i="3" s="1"/>
  <c r="L15" i="3" s="1"/>
  <c r="J14" i="3"/>
  <c r="K14" i="3" s="1"/>
  <c r="L14" i="3" s="1"/>
  <c r="J13" i="3"/>
  <c r="K13" i="3" s="1"/>
  <c r="L13" i="3" s="1"/>
  <c r="J12" i="3"/>
  <c r="K12" i="3" s="1"/>
  <c r="L12" i="3" s="1"/>
  <c r="J11" i="3"/>
  <c r="K11" i="3" s="1"/>
  <c r="L11" i="3" s="1"/>
  <c r="J10" i="3"/>
  <c r="K10" i="3" s="1"/>
  <c r="L10" i="3" s="1"/>
  <c r="J9" i="3"/>
  <c r="K9" i="3" s="1"/>
  <c r="L9" i="3" s="1"/>
  <c r="J8" i="3"/>
  <c r="K8" i="3" s="1"/>
  <c r="L8" i="3" s="1"/>
  <c r="J7" i="3"/>
  <c r="K7" i="3" s="1"/>
  <c r="L7" i="3" s="1"/>
  <c r="I109" i="2"/>
  <c r="J108" i="2"/>
  <c r="K108" i="2" s="1"/>
  <c r="L108" i="2" s="1"/>
  <c r="K107" i="2"/>
  <c r="L107" i="2" s="1"/>
  <c r="J107" i="2"/>
  <c r="J106" i="2"/>
  <c r="K106" i="2" s="1"/>
  <c r="L106" i="2" s="1"/>
  <c r="J105" i="2"/>
  <c r="K105" i="2" s="1"/>
  <c r="L105" i="2" s="1"/>
  <c r="J104" i="2"/>
  <c r="K104" i="2" s="1"/>
  <c r="L104" i="2" s="1"/>
  <c r="J103" i="2"/>
  <c r="K103" i="2" s="1"/>
  <c r="L103" i="2" s="1"/>
  <c r="J102" i="2"/>
  <c r="K102" i="2" s="1"/>
  <c r="L102" i="2" s="1"/>
  <c r="J101" i="2"/>
  <c r="K101" i="2" s="1"/>
  <c r="L101" i="2" s="1"/>
  <c r="J100" i="2"/>
  <c r="K100" i="2" s="1"/>
  <c r="L100" i="2" s="1"/>
  <c r="J99" i="2"/>
  <c r="K99" i="2" s="1"/>
  <c r="L99" i="2" s="1"/>
  <c r="J98" i="2"/>
  <c r="K98" i="2" s="1"/>
  <c r="L98" i="2" s="1"/>
  <c r="J97" i="2"/>
  <c r="K97" i="2" s="1"/>
  <c r="L97" i="2" s="1"/>
  <c r="J96" i="2"/>
  <c r="K96" i="2" s="1"/>
  <c r="L96" i="2" s="1"/>
  <c r="J95" i="2"/>
  <c r="K95" i="2" s="1"/>
  <c r="L95" i="2" s="1"/>
  <c r="J94" i="2"/>
  <c r="K94" i="2" s="1"/>
  <c r="L94" i="2" s="1"/>
  <c r="J93" i="2"/>
  <c r="K93" i="2" s="1"/>
  <c r="L93" i="2" s="1"/>
  <c r="J92" i="2"/>
  <c r="K92" i="2" s="1"/>
  <c r="L92" i="2" s="1"/>
  <c r="J91" i="2"/>
  <c r="K91" i="2" s="1"/>
  <c r="L91" i="2" s="1"/>
  <c r="J90" i="2"/>
  <c r="K90" i="2" s="1"/>
  <c r="L90" i="2" s="1"/>
  <c r="J89" i="2"/>
  <c r="K89" i="2" s="1"/>
  <c r="L89" i="2" s="1"/>
  <c r="J88" i="2"/>
  <c r="K88" i="2" s="1"/>
  <c r="L88" i="2" s="1"/>
  <c r="J87" i="2"/>
  <c r="K87" i="2" s="1"/>
  <c r="L87" i="2" s="1"/>
  <c r="J86" i="2"/>
  <c r="K86" i="2" s="1"/>
  <c r="L86" i="2" s="1"/>
  <c r="J85" i="2"/>
  <c r="K85" i="2" s="1"/>
  <c r="L85" i="2" s="1"/>
  <c r="J84" i="2"/>
  <c r="K84" i="2" s="1"/>
  <c r="L84" i="2" s="1"/>
  <c r="J83" i="2"/>
  <c r="K83" i="2" s="1"/>
  <c r="L83" i="2" s="1"/>
  <c r="J82" i="2"/>
  <c r="K82" i="2" s="1"/>
  <c r="L82" i="2" s="1"/>
  <c r="J81" i="2"/>
  <c r="K81" i="2" s="1"/>
  <c r="L81" i="2" s="1"/>
  <c r="J80" i="2"/>
  <c r="K80" i="2" s="1"/>
  <c r="L80" i="2" s="1"/>
  <c r="K79" i="2"/>
  <c r="L79" i="2" s="1"/>
  <c r="J79" i="2"/>
  <c r="J78" i="2"/>
  <c r="K78" i="2" s="1"/>
  <c r="L78" i="2" s="1"/>
  <c r="J77" i="2"/>
  <c r="K77" i="2" s="1"/>
  <c r="L77" i="2" s="1"/>
  <c r="J76" i="2"/>
  <c r="K76" i="2" s="1"/>
  <c r="L76" i="2" s="1"/>
  <c r="J75" i="2"/>
  <c r="K75" i="2" s="1"/>
  <c r="L75" i="2" s="1"/>
  <c r="J74" i="2"/>
  <c r="K74" i="2" s="1"/>
  <c r="L74" i="2" s="1"/>
  <c r="J73" i="2"/>
  <c r="K73" i="2" s="1"/>
  <c r="L73" i="2" s="1"/>
  <c r="J72" i="2"/>
  <c r="K72" i="2" s="1"/>
  <c r="L72" i="2" s="1"/>
  <c r="J71" i="2"/>
  <c r="K71" i="2" s="1"/>
  <c r="L71" i="2" s="1"/>
  <c r="J70" i="2"/>
  <c r="K70" i="2" s="1"/>
  <c r="L70" i="2" s="1"/>
  <c r="J69" i="2"/>
  <c r="K69" i="2" s="1"/>
  <c r="L69" i="2" s="1"/>
  <c r="J68" i="2"/>
  <c r="K68" i="2" s="1"/>
  <c r="L68" i="2" s="1"/>
  <c r="J67" i="2"/>
  <c r="K67" i="2" s="1"/>
  <c r="L67" i="2" s="1"/>
  <c r="J66" i="2"/>
  <c r="K66" i="2" s="1"/>
  <c r="L66" i="2" s="1"/>
  <c r="J65" i="2"/>
  <c r="K65" i="2" s="1"/>
  <c r="L65" i="2" s="1"/>
  <c r="J64" i="2"/>
  <c r="K64" i="2" s="1"/>
  <c r="L64" i="2" s="1"/>
  <c r="J63" i="2"/>
  <c r="K63" i="2" s="1"/>
  <c r="L63" i="2" s="1"/>
  <c r="J62" i="2"/>
  <c r="K62" i="2" s="1"/>
  <c r="L62" i="2" s="1"/>
  <c r="J61" i="2"/>
  <c r="K61" i="2" s="1"/>
  <c r="L61" i="2" s="1"/>
  <c r="J60" i="2"/>
  <c r="K60" i="2" s="1"/>
  <c r="L60" i="2" s="1"/>
  <c r="J59" i="2"/>
  <c r="K59" i="2" s="1"/>
  <c r="L59" i="2" s="1"/>
  <c r="J58" i="2"/>
  <c r="K58" i="2" s="1"/>
  <c r="L58" i="2" s="1"/>
  <c r="J57" i="2"/>
  <c r="K57" i="2" s="1"/>
  <c r="L57" i="2" s="1"/>
  <c r="J56" i="2"/>
  <c r="K56" i="2" s="1"/>
  <c r="L56" i="2" s="1"/>
  <c r="J55" i="2"/>
  <c r="K55" i="2" s="1"/>
  <c r="L55" i="2" s="1"/>
  <c r="J54" i="2"/>
  <c r="K54" i="2" s="1"/>
  <c r="L54" i="2" s="1"/>
  <c r="J53" i="2"/>
  <c r="K53" i="2" s="1"/>
  <c r="L53" i="2" s="1"/>
  <c r="J52" i="2"/>
  <c r="K52" i="2" s="1"/>
  <c r="L52" i="2" s="1"/>
  <c r="J51" i="2"/>
  <c r="K51" i="2" s="1"/>
  <c r="L51" i="2" s="1"/>
  <c r="J50" i="2"/>
  <c r="K50" i="2" s="1"/>
  <c r="L50" i="2" s="1"/>
  <c r="J49" i="2"/>
  <c r="K49" i="2" s="1"/>
  <c r="L49" i="2" s="1"/>
  <c r="J48" i="2"/>
  <c r="K48" i="2" s="1"/>
  <c r="L48" i="2" s="1"/>
  <c r="J47" i="2"/>
  <c r="K47" i="2" s="1"/>
  <c r="L47" i="2" s="1"/>
  <c r="J46" i="2"/>
  <c r="K46" i="2" s="1"/>
  <c r="L46" i="2" s="1"/>
  <c r="J45" i="2"/>
  <c r="K45" i="2" s="1"/>
  <c r="L45" i="2" s="1"/>
  <c r="J44" i="2"/>
  <c r="K44" i="2" s="1"/>
  <c r="L44" i="2" s="1"/>
  <c r="J43" i="2"/>
  <c r="K43" i="2" s="1"/>
  <c r="L43" i="2" s="1"/>
  <c r="J42" i="2"/>
  <c r="K42" i="2" s="1"/>
  <c r="L42" i="2" s="1"/>
  <c r="J41" i="2"/>
  <c r="K41" i="2" s="1"/>
  <c r="L41" i="2" s="1"/>
  <c r="J40" i="2"/>
  <c r="K40" i="2" s="1"/>
  <c r="L40" i="2" s="1"/>
  <c r="J39" i="2"/>
  <c r="K39" i="2" s="1"/>
  <c r="L39" i="2" s="1"/>
  <c r="J38" i="2"/>
  <c r="K38" i="2" s="1"/>
  <c r="L38" i="2" s="1"/>
  <c r="J37" i="2"/>
  <c r="K37" i="2" s="1"/>
  <c r="L37" i="2" s="1"/>
  <c r="J36" i="2"/>
  <c r="K36" i="2" s="1"/>
  <c r="L36" i="2" s="1"/>
  <c r="J35" i="2"/>
  <c r="K35" i="2" s="1"/>
  <c r="L35" i="2" s="1"/>
  <c r="J34" i="2"/>
  <c r="K34" i="2" s="1"/>
  <c r="L34" i="2" s="1"/>
  <c r="J33" i="2"/>
  <c r="K33" i="2" s="1"/>
  <c r="L33" i="2" s="1"/>
  <c r="J32" i="2"/>
  <c r="K32" i="2" s="1"/>
  <c r="L32" i="2" s="1"/>
  <c r="J31" i="2"/>
  <c r="K31" i="2" s="1"/>
  <c r="L31" i="2" s="1"/>
  <c r="J30" i="2"/>
  <c r="K30" i="2" s="1"/>
  <c r="L30" i="2" s="1"/>
  <c r="J29" i="2"/>
  <c r="K29" i="2" s="1"/>
  <c r="L29" i="2" s="1"/>
  <c r="J28" i="2"/>
  <c r="K28" i="2" s="1"/>
  <c r="L28" i="2" s="1"/>
  <c r="J27" i="2"/>
  <c r="K27" i="2" s="1"/>
  <c r="L27" i="2" s="1"/>
  <c r="J26" i="2"/>
  <c r="K26" i="2" s="1"/>
  <c r="L26" i="2" s="1"/>
  <c r="J25" i="2"/>
  <c r="K25" i="2" s="1"/>
  <c r="L25" i="2" s="1"/>
  <c r="K24" i="2"/>
  <c r="L24" i="2" s="1"/>
  <c r="J24" i="2"/>
  <c r="J23" i="2"/>
  <c r="K23" i="2" s="1"/>
  <c r="L23" i="2" s="1"/>
  <c r="J22" i="2"/>
  <c r="K22" i="2" s="1"/>
  <c r="L22" i="2" s="1"/>
  <c r="J21" i="2"/>
  <c r="K21" i="2" s="1"/>
  <c r="L21" i="2" s="1"/>
  <c r="J20" i="2"/>
  <c r="K20" i="2" s="1"/>
  <c r="L20" i="2" s="1"/>
  <c r="J19" i="2"/>
  <c r="K19" i="2" s="1"/>
  <c r="L19" i="2" s="1"/>
  <c r="J18" i="2"/>
  <c r="K18" i="2" s="1"/>
  <c r="L18" i="2" s="1"/>
  <c r="J17" i="2"/>
  <c r="K17" i="2" s="1"/>
  <c r="L17" i="2" s="1"/>
  <c r="J16" i="2"/>
  <c r="K16" i="2" s="1"/>
  <c r="L16" i="2" s="1"/>
  <c r="J15" i="2"/>
  <c r="K15" i="2" s="1"/>
  <c r="L15" i="2" s="1"/>
  <c r="J14" i="2"/>
  <c r="K14" i="2" s="1"/>
  <c r="L14" i="2" s="1"/>
  <c r="J13" i="2"/>
  <c r="K13" i="2" s="1"/>
  <c r="L13" i="2" s="1"/>
  <c r="J12" i="2"/>
  <c r="K12" i="2" s="1"/>
  <c r="L12" i="2" s="1"/>
  <c r="J11" i="2"/>
  <c r="K11" i="2" s="1"/>
  <c r="L11" i="2" s="1"/>
  <c r="J10" i="2"/>
  <c r="K10" i="2" s="1"/>
  <c r="L10" i="2" s="1"/>
  <c r="J9" i="2"/>
  <c r="K9" i="2" s="1"/>
  <c r="L9" i="2" s="1"/>
  <c r="J8" i="2"/>
  <c r="K8" i="2" s="1"/>
  <c r="L8" i="2" s="1"/>
  <c r="J7" i="2"/>
  <c r="K7" i="2" s="1"/>
  <c r="K109" i="3" l="1"/>
  <c r="L109" i="3"/>
  <c r="K109" i="4"/>
  <c r="L7" i="4"/>
  <c r="L109" i="4" s="1"/>
  <c r="L7" i="2"/>
  <c r="L109" i="2" s="1"/>
  <c r="K109" i="2"/>
</calcChain>
</file>

<file path=xl/sharedStrings.xml><?xml version="1.0" encoding="utf-8"?>
<sst xmlns="http://schemas.openxmlformats.org/spreadsheetml/2006/main" count="2230" uniqueCount="94">
  <si>
    <t>품목리스트</t>
  </si>
  <si>
    <t>매출 시트의 제품군·모델명·판매단가는 본 리스트를 기준으로 연결</t>
  </si>
  <si>
    <t>[가정] 판매단가는 모델별 임의 설정값이며 실제 가격이 아님 | 레이저장비 제품군·모델명 체계 적용</t>
  </si>
  <si>
    <t>제품군</t>
  </si>
  <si>
    <t>모델명</t>
  </si>
  <si>
    <t>판매단가</t>
  </si>
  <si>
    <t>레이저장비 프로브</t>
  </si>
  <si>
    <t>LP1000</t>
  </si>
  <si>
    <t>LP1500</t>
  </si>
  <si>
    <t>LP2000</t>
  </si>
  <si>
    <t>LR1000</t>
  </si>
  <si>
    <t>LR-PRO</t>
  </si>
  <si>
    <t>레이저장비 액세서리</t>
  </si>
  <si>
    <t>LR-CORE1</t>
  </si>
  <si>
    <t>LR-CORE2</t>
  </si>
  <si>
    <t>LR-CORE3</t>
  </si>
  <si>
    <t>레이저장비 부품</t>
  </si>
  <si>
    <t>LP100</t>
  </si>
  <si>
    <t>LP200</t>
  </si>
  <si>
    <t>레이저메디텍 매출현황</t>
  </si>
  <si>
    <t>산업 도메인: 반려동물 헬스케어 장비 | 데이터 유형: [가상 예시] 합성 데이터</t>
  </si>
  <si>
    <t>기준 매출항목: 품목리스트 시트의 레이저장비 제품군·모델명·판매단가 | 기간: 2022~2024 [가정] 3개년</t>
  </si>
  <si>
    <t>[가정] 거래처명 = 대리점 6개소 + 임의 회사 10개소 | 판매단가·매출은 품목리스트 기준 수식 연결 | 실제 실적·거래처·기업 데이터 아님</t>
  </si>
  <si>
    <t>VAT율</t>
  </si>
  <si>
    <t>NO.</t>
  </si>
  <si>
    <t>판매년도</t>
  </si>
  <si>
    <t>월</t>
  </si>
  <si>
    <t>날짜</t>
  </si>
  <si>
    <t>지역</t>
  </si>
  <si>
    <t>거래처명</t>
  </si>
  <si>
    <t>수량</t>
  </si>
  <si>
    <t>매출(VAT제외)</t>
  </si>
  <si>
    <t>매출(VAT포함)</t>
  </si>
  <si>
    <t>비고</t>
  </si>
  <si>
    <t>영업담당자</t>
  </si>
  <si>
    <t>January</t>
  </si>
  <si>
    <t>인천</t>
  </si>
  <si>
    <t>동물헬스 네트웍스</t>
  </si>
  <si>
    <t>대리점 거래</t>
  </si>
  <si>
    <t>박지우</t>
  </si>
  <si>
    <t>이지바이오텍</t>
  </si>
  <si>
    <t>회사 거래</t>
  </si>
  <si>
    <t>February</t>
  </si>
  <si>
    <t>대구</t>
  </si>
  <si>
    <t>펫웍스코리아</t>
  </si>
  <si>
    <t>최민서</t>
  </si>
  <si>
    <t>대전</t>
  </si>
  <si>
    <t>케어온 메디컬</t>
  </si>
  <si>
    <t>이현우</t>
  </si>
  <si>
    <t>스마트펫 메디컬</t>
  </si>
  <si>
    <t>March</t>
  </si>
  <si>
    <t>광주</t>
  </si>
  <si>
    <t>그린메디텍</t>
  </si>
  <si>
    <t>April</t>
  </si>
  <si>
    <t>메디링크 대리점</t>
  </si>
  <si>
    <t>김서준</t>
  </si>
  <si>
    <t>경기</t>
  </si>
  <si>
    <t>이노펫 디스트리뷰션</t>
  </si>
  <si>
    <t>May</t>
  </si>
  <si>
    <t>부산</t>
  </si>
  <si>
    <t>클린메디솔루션</t>
  </si>
  <si>
    <t>June</t>
  </si>
  <si>
    <t>강원</t>
  </si>
  <si>
    <t>July</t>
  </si>
  <si>
    <t>서울</t>
  </si>
  <si>
    <t>August</t>
  </si>
  <si>
    <t>바이오링크</t>
  </si>
  <si>
    <t>제주</t>
  </si>
  <si>
    <t>September</t>
  </si>
  <si>
    <t>더블유헬스랩</t>
  </si>
  <si>
    <t>October</t>
  </si>
  <si>
    <t>브릿지펫 유통</t>
  </si>
  <si>
    <t>November</t>
  </si>
  <si>
    <t>하이케어 파트너스</t>
  </si>
  <si>
    <t>December</t>
  </si>
  <si>
    <t>넥스트케어</t>
  </si>
  <si>
    <t>라이프랩 연구소</t>
  </si>
  <si>
    <t>온케어 솔루션</t>
  </si>
  <si>
    <t>합계</t>
  </si>
  <si>
    <t>루미나레이저 매출현황</t>
  </si>
  <si>
    <t>산업 도메인: 산업용 검사장비 유통 | 데이터 유형: [가상 예시] 합성 데이터</t>
  </si>
  <si>
    <t>한유진</t>
  </si>
  <si>
    <t>정다은</t>
  </si>
  <si>
    <t>윤가람</t>
  </si>
  <si>
    <t>오세훈</t>
  </si>
  <si>
    <t>프로레이저솔루션 매출현황</t>
  </si>
  <si>
    <t>산업 도메인: 연구용 소형진단기기 | 데이터 유형: [가상 예시] 합성 데이터</t>
  </si>
  <si>
    <t>서하린</t>
  </si>
  <si>
    <t>강도윤</t>
  </si>
  <si>
    <t>배수아</t>
  </si>
  <si>
    <t>문지후</t>
  </si>
  <si>
    <t>LR2000</t>
  </si>
  <si>
    <t>LR2000</t>
    <phoneticPr fontId="5" type="noConversion"/>
  </si>
  <si>
    <t>레이저장비 시스템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</si>
</sst>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name val="Carlito"/>
    </font>
    <font>
      <b/>
      <sz val="11"/>
      <color rgb="FFFFFFFF"/>
      <name val="맑은 고딕"/>
      <family val="2"/>
      <charset val="129"/>
    </font>
    <font>
      <sz val="11"/>
      <color rgb="FF1F1F1F"/>
      <name val="맑은 고딕"/>
      <family val="2"/>
      <charset val="129"/>
    </font>
    <font>
      <b/>
      <sz val="11"/>
      <color rgb="FF1F1F1F"/>
      <name val="맑은 고딕"/>
      <family val="2"/>
      <charset val="129"/>
    </font>
    <font>
      <sz val="11"/>
      <name val="Carlito"/>
    </font>
    <font>
      <sz val="8"/>
      <name val="나눔명조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5B5B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double">
        <color rgb="FF70AD47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0" borderId="3" xfId="1" applyFont="1" applyBorder="1" applyAlignment="1">
      <alignment vertical="center"/>
    </xf>
    <xf numFmtId="0" fontId="3" fillId="4" borderId="4" xfId="1" applyFont="1" applyFill="1" applyBorder="1"/>
    <xf numFmtId="176" fontId="2" fillId="0" borderId="3" xfId="1" applyNumberFormat="1" applyFont="1" applyBorder="1" applyAlignment="1">
      <alignment vertical="center"/>
    </xf>
    <xf numFmtId="3" fontId="2" fillId="2" borderId="3" xfId="1" applyNumberFormat="1" applyFont="1" applyFill="1" applyBorder="1" applyAlignment="1">
      <alignment vertical="center"/>
    </xf>
    <xf numFmtId="3" fontId="3" fillId="4" borderId="4" xfId="1" applyNumberFormat="1" applyFont="1" applyFill="1" applyBorder="1"/>
    <xf numFmtId="3" fontId="2" fillId="3" borderId="3" xfId="1" applyNumberFormat="1" applyFont="1" applyFill="1" applyBorder="1" applyAlignment="1">
      <alignment vertical="center"/>
    </xf>
    <xf numFmtId="0" fontId="1" fillId="7" borderId="2" xfId="1" applyFont="1" applyFill="1" applyBorder="1" applyAlignment="1">
      <alignment horizontal="center" vertical="center"/>
    </xf>
    <xf numFmtId="3" fontId="2" fillId="8" borderId="3" xfId="1" applyNumberFormat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9" fontId="3" fillId="8" borderId="1" xfId="1" applyNumberFormat="1" applyFont="1" applyFill="1" applyBorder="1" applyAlignment="1">
      <alignment horizontal="center" vertical="center"/>
    </xf>
    <xf numFmtId="0" fontId="1" fillId="7" borderId="2" xfId="1" applyFont="1" applyFill="1" applyBorder="1" applyAlignment="1">
      <alignment horizontal="center" vertical="center" wrapText="1"/>
    </xf>
    <xf numFmtId="0" fontId="1" fillId="5" borderId="0" xfId="1" applyFont="1" applyFill="1" applyAlignment="1">
      <alignment horizontal="center" vertical="center"/>
    </xf>
    <xf numFmtId="0" fontId="2" fillId="6" borderId="0" xfId="1" applyFont="1" applyFill="1" applyAlignment="1">
      <alignment horizontal="left" vertical="center" wrapText="1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tabSelected="1" workbookViewId="0">
      <selection activeCell="B21" sqref="B21"/>
    </sheetView>
  </sheetViews>
  <sheetFormatPr baseColWidth="10" defaultColWidth="8.83203125" defaultRowHeight="14"/>
  <cols>
    <col min="1" max="2" width="30.83203125" customWidth="1"/>
    <col min="3" max="3" width="35.83203125" customWidth="1"/>
  </cols>
  <sheetData>
    <row r="1" spans="1:3" ht="28" customHeight="1">
      <c r="A1" s="12" t="s">
        <v>0</v>
      </c>
      <c r="B1" s="12"/>
      <c r="C1" s="12"/>
    </row>
    <row r="2" spans="1:3" ht="17">
      <c r="A2" s="13" t="s">
        <v>1</v>
      </c>
      <c r="B2" s="13"/>
      <c r="C2" s="13"/>
    </row>
    <row r="3" spans="1:3" ht="17">
      <c r="A3" s="13" t="s">
        <v>2</v>
      </c>
      <c r="B3" s="13"/>
      <c r="C3" s="13"/>
    </row>
    <row r="4" spans="1:3" ht="24" customHeight="1">
      <c r="A4" s="7" t="s">
        <v>3</v>
      </c>
      <c r="B4" s="7" t="s">
        <v>4</v>
      </c>
      <c r="C4" s="7" t="s">
        <v>5</v>
      </c>
    </row>
    <row r="5" spans="1:3" ht="18" customHeight="1">
      <c r="A5" s="1" t="s">
        <v>6</v>
      </c>
      <c r="B5" s="1" t="s">
        <v>7</v>
      </c>
      <c r="C5" s="8">
        <v>130000</v>
      </c>
    </row>
    <row r="6" spans="1:3" ht="18" customHeight="1">
      <c r="A6" s="1" t="s">
        <v>6</v>
      </c>
      <c r="B6" s="1" t="s">
        <v>8</v>
      </c>
      <c r="C6" s="8">
        <v>145000</v>
      </c>
    </row>
    <row r="7" spans="1:3" ht="18" customHeight="1">
      <c r="A7" s="1" t="s">
        <v>6</v>
      </c>
      <c r="B7" s="1" t="s">
        <v>9</v>
      </c>
      <c r="C7" s="8">
        <v>175000</v>
      </c>
    </row>
    <row r="8" spans="1:3" ht="18" customHeight="1">
      <c r="A8" s="1" t="s">
        <v>93</v>
      </c>
      <c r="B8" s="1" t="s">
        <v>10</v>
      </c>
      <c r="C8" s="8">
        <v>4500000</v>
      </c>
    </row>
    <row r="9" spans="1:3" ht="18" customHeight="1">
      <c r="A9" s="1" t="s">
        <v>93</v>
      </c>
      <c r="B9" s="1" t="s">
        <v>92</v>
      </c>
      <c r="C9" s="8">
        <v>5200000</v>
      </c>
    </row>
    <row r="10" spans="1:3" ht="18" customHeight="1">
      <c r="A10" s="1" t="s">
        <v>93</v>
      </c>
      <c r="B10" s="1" t="s">
        <v>11</v>
      </c>
      <c r="C10" s="8">
        <v>6000000</v>
      </c>
    </row>
    <row r="11" spans="1:3" ht="18" customHeight="1">
      <c r="A11" s="1" t="s">
        <v>12</v>
      </c>
      <c r="B11" s="1" t="s">
        <v>13</v>
      </c>
      <c r="C11" s="8">
        <v>4200000</v>
      </c>
    </row>
    <row r="12" spans="1:3" ht="18" customHeight="1">
      <c r="A12" s="1" t="s">
        <v>12</v>
      </c>
      <c r="B12" s="1" t="s">
        <v>14</v>
      </c>
      <c r="C12" s="8">
        <v>4800000</v>
      </c>
    </row>
    <row r="13" spans="1:3" ht="18" customHeight="1">
      <c r="A13" s="1" t="s">
        <v>12</v>
      </c>
      <c r="B13" s="1" t="s">
        <v>15</v>
      </c>
      <c r="C13" s="8">
        <v>60000</v>
      </c>
    </row>
    <row r="14" spans="1:3" ht="18" customHeight="1">
      <c r="A14" s="1" t="s">
        <v>16</v>
      </c>
      <c r="B14" s="1" t="s">
        <v>17</v>
      </c>
      <c r="C14" s="8">
        <v>180000</v>
      </c>
    </row>
    <row r="15" spans="1:3" ht="18" customHeight="1">
      <c r="A15" s="1" t="s">
        <v>16</v>
      </c>
      <c r="B15" s="1" t="s">
        <v>18</v>
      </c>
      <c r="C15" s="8">
        <v>240000</v>
      </c>
    </row>
  </sheetData>
  <mergeCells count="3">
    <mergeCell ref="A1:C1"/>
    <mergeCell ref="A2:C2"/>
    <mergeCell ref="A3:C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9"/>
  <sheetViews>
    <sheetView showGridLines="0" workbookViewId="0">
      <selection activeCell="G16" sqref="G16"/>
    </sheetView>
  </sheetViews>
  <sheetFormatPr baseColWidth="10" defaultColWidth="8.83203125" defaultRowHeight="14"/>
  <cols>
    <col min="1" max="1" width="7" customWidth="1"/>
    <col min="2" max="2" width="10" customWidth="1"/>
    <col min="3" max="3" width="12" customWidth="1"/>
    <col min="4" max="4" width="13" customWidth="1"/>
    <col min="5" max="5" width="10" customWidth="1"/>
    <col min="6" max="6" width="24" customWidth="1"/>
    <col min="7" max="7" width="18" customWidth="1"/>
    <col min="8" max="8" width="14" customWidth="1"/>
    <col min="9" max="9" width="10" customWidth="1"/>
    <col min="10" max="12" width="16" customWidth="1"/>
    <col min="13" max="13" width="14" customWidth="1"/>
    <col min="14" max="14" width="15" customWidth="1"/>
  </cols>
  <sheetData>
    <row r="1" spans="1:14" ht="28" customHeight="1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2" customHeight="1">
      <c r="A2" s="13" t="s">
        <v>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2" customHeight="1">
      <c r="A3" s="13" t="s">
        <v>21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22" customHeight="1">
      <c r="A4" s="13" t="s">
        <v>22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0" customHeight="1">
      <c r="A5" s="9" t="s">
        <v>23</v>
      </c>
      <c r="B5" s="10">
        <v>0.1</v>
      </c>
    </row>
    <row r="6" spans="1:14" ht="34" customHeight="1">
      <c r="A6" s="11" t="s">
        <v>24</v>
      </c>
      <c r="B6" s="11" t="s">
        <v>25</v>
      </c>
      <c r="C6" s="11" t="s">
        <v>26</v>
      </c>
      <c r="D6" s="11" t="s">
        <v>27</v>
      </c>
      <c r="E6" s="11" t="s">
        <v>28</v>
      </c>
      <c r="F6" s="11" t="s">
        <v>29</v>
      </c>
      <c r="G6" s="11" t="s">
        <v>3</v>
      </c>
      <c r="H6" s="11" t="s">
        <v>4</v>
      </c>
      <c r="I6" s="11" t="s">
        <v>30</v>
      </c>
      <c r="J6" s="11" t="s">
        <v>5</v>
      </c>
      <c r="K6" s="11" t="s">
        <v>31</v>
      </c>
      <c r="L6" s="11" t="s">
        <v>32</v>
      </c>
      <c r="M6" s="11" t="s">
        <v>33</v>
      </c>
      <c r="N6" s="11" t="s">
        <v>34</v>
      </c>
    </row>
    <row r="7" spans="1:14" ht="18" customHeight="1">
      <c r="A7" s="1">
        <v>1</v>
      </c>
      <c r="B7" s="1">
        <v>2022</v>
      </c>
      <c r="C7" s="1" t="s">
        <v>35</v>
      </c>
      <c r="D7" s="3">
        <v>44583</v>
      </c>
      <c r="E7" s="1" t="s">
        <v>36</v>
      </c>
      <c r="F7" s="1" t="s">
        <v>37</v>
      </c>
      <c r="G7" s="1" t="s">
        <v>16</v>
      </c>
      <c r="H7" s="1" t="s">
        <v>17</v>
      </c>
      <c r="I7" s="4">
        <v>49</v>
      </c>
      <c r="J7" s="4">
        <f>VLOOKUP(H7,품목리스트!$B$5:$C$15,2,FALSE)</f>
        <v>180000</v>
      </c>
      <c r="K7" s="6">
        <f t="shared" ref="K7:K38" si="0">ROUND(I7*J7,0)</f>
        <v>8820000</v>
      </c>
      <c r="L7" s="6">
        <f t="shared" ref="L7:L38" si="1">ROUND(K7*(1+$B$5),0)</f>
        <v>9702000</v>
      </c>
      <c r="M7" s="1" t="s">
        <v>38</v>
      </c>
      <c r="N7" s="1" t="s">
        <v>39</v>
      </c>
    </row>
    <row r="8" spans="1:14" ht="18" customHeight="1">
      <c r="A8" s="1">
        <v>2</v>
      </c>
      <c r="B8" s="1">
        <v>2022</v>
      </c>
      <c r="C8" s="1" t="s">
        <v>35</v>
      </c>
      <c r="D8" s="3">
        <v>44580</v>
      </c>
      <c r="E8" s="1" t="s">
        <v>36</v>
      </c>
      <c r="F8" s="1" t="s">
        <v>40</v>
      </c>
      <c r="G8" s="1" t="s">
        <v>93</v>
      </c>
      <c r="H8" s="1" t="s">
        <v>91</v>
      </c>
      <c r="I8" s="4">
        <v>3</v>
      </c>
      <c r="J8" s="4">
        <f>VLOOKUP(H8,품목리스트!$B$5:$C$15,2,FALSE)</f>
        <v>5200000</v>
      </c>
      <c r="K8" s="6">
        <f t="shared" si="0"/>
        <v>15600000</v>
      </c>
      <c r="L8" s="6">
        <f t="shared" si="1"/>
        <v>17160000</v>
      </c>
      <c r="M8" s="1" t="s">
        <v>41</v>
      </c>
      <c r="N8" s="1" t="s">
        <v>39</v>
      </c>
    </row>
    <row r="9" spans="1:14" ht="18" customHeight="1">
      <c r="A9" s="1">
        <v>3</v>
      </c>
      <c r="B9" s="1">
        <v>2022</v>
      </c>
      <c r="C9" s="1" t="s">
        <v>42</v>
      </c>
      <c r="D9" s="3">
        <v>44604</v>
      </c>
      <c r="E9" s="1" t="s">
        <v>43</v>
      </c>
      <c r="F9" s="1" t="s">
        <v>44</v>
      </c>
      <c r="G9" s="1" t="s">
        <v>93</v>
      </c>
      <c r="H9" s="1" t="s">
        <v>91</v>
      </c>
      <c r="I9" s="4">
        <v>49</v>
      </c>
      <c r="J9" s="4">
        <f>VLOOKUP(H9,품목리스트!$B$5:$C$15,2,FALSE)</f>
        <v>5200000</v>
      </c>
      <c r="K9" s="6">
        <f t="shared" si="0"/>
        <v>254800000</v>
      </c>
      <c r="L9" s="6">
        <f t="shared" si="1"/>
        <v>280280000</v>
      </c>
      <c r="M9" s="1" t="s">
        <v>41</v>
      </c>
      <c r="N9" s="1" t="s">
        <v>45</v>
      </c>
    </row>
    <row r="10" spans="1:14" ht="18" customHeight="1">
      <c r="A10" s="1">
        <v>4</v>
      </c>
      <c r="B10" s="1">
        <v>2022</v>
      </c>
      <c r="C10" s="1" t="s">
        <v>42</v>
      </c>
      <c r="D10" s="3">
        <v>44602</v>
      </c>
      <c r="E10" s="1" t="s">
        <v>46</v>
      </c>
      <c r="F10" s="1" t="s">
        <v>47</v>
      </c>
      <c r="G10" s="1" t="s">
        <v>16</v>
      </c>
      <c r="H10" s="1" t="s">
        <v>18</v>
      </c>
      <c r="I10" s="4">
        <v>4</v>
      </c>
      <c r="J10" s="4">
        <f>VLOOKUP(H10,품목리스트!$B$5:$C$15,2,FALSE)</f>
        <v>240000</v>
      </c>
      <c r="K10" s="6">
        <f t="shared" si="0"/>
        <v>960000</v>
      </c>
      <c r="L10" s="6">
        <f t="shared" si="1"/>
        <v>1056000</v>
      </c>
      <c r="M10" s="1" t="s">
        <v>41</v>
      </c>
      <c r="N10" s="1" t="s">
        <v>48</v>
      </c>
    </row>
    <row r="11" spans="1:14" ht="18" customHeight="1">
      <c r="A11" s="1">
        <v>5</v>
      </c>
      <c r="B11" s="1">
        <v>2022</v>
      </c>
      <c r="C11" s="1" t="s">
        <v>42</v>
      </c>
      <c r="D11" s="3">
        <v>44597</v>
      </c>
      <c r="E11" s="1" t="s">
        <v>36</v>
      </c>
      <c r="F11" s="1" t="s">
        <v>49</v>
      </c>
      <c r="G11" s="1" t="s">
        <v>12</v>
      </c>
      <c r="H11" s="1" t="s">
        <v>14</v>
      </c>
      <c r="I11" s="4">
        <v>1</v>
      </c>
      <c r="J11" s="4">
        <f>VLOOKUP(H11,품목리스트!$B$5:$C$15,2,FALSE)</f>
        <v>4800000</v>
      </c>
      <c r="K11" s="6">
        <f t="shared" si="0"/>
        <v>4800000</v>
      </c>
      <c r="L11" s="6">
        <f t="shared" si="1"/>
        <v>5280000</v>
      </c>
      <c r="M11" s="1" t="s">
        <v>41</v>
      </c>
      <c r="N11" s="1" t="s">
        <v>48</v>
      </c>
    </row>
    <row r="12" spans="1:14" ht="18" customHeight="1">
      <c r="A12" s="1">
        <v>6</v>
      </c>
      <c r="B12" s="1">
        <v>2022</v>
      </c>
      <c r="C12" s="1" t="s">
        <v>50</v>
      </c>
      <c r="D12" s="3">
        <v>44627</v>
      </c>
      <c r="E12" s="1" t="s">
        <v>51</v>
      </c>
      <c r="F12" s="1" t="s">
        <v>49</v>
      </c>
      <c r="G12" s="1" t="s">
        <v>16</v>
      </c>
      <c r="H12" s="1" t="s">
        <v>17</v>
      </c>
      <c r="I12" s="4">
        <v>53</v>
      </c>
      <c r="J12" s="4">
        <f>VLOOKUP(H12,품목리스트!$B$5:$C$15,2,FALSE)</f>
        <v>180000</v>
      </c>
      <c r="K12" s="6">
        <f t="shared" si="0"/>
        <v>9540000</v>
      </c>
      <c r="L12" s="6">
        <f t="shared" si="1"/>
        <v>10494000</v>
      </c>
      <c r="M12" s="1" t="s">
        <v>41</v>
      </c>
      <c r="N12" s="1" t="s">
        <v>39</v>
      </c>
    </row>
    <row r="13" spans="1:14" ht="18" customHeight="1">
      <c r="A13" s="1">
        <v>7</v>
      </c>
      <c r="B13" s="1">
        <v>2022</v>
      </c>
      <c r="C13" s="1" t="s">
        <v>50</v>
      </c>
      <c r="D13" s="3">
        <v>44638</v>
      </c>
      <c r="E13" s="1" t="s">
        <v>36</v>
      </c>
      <c r="F13" s="1" t="s">
        <v>49</v>
      </c>
      <c r="G13" s="1" t="s">
        <v>93</v>
      </c>
      <c r="H13" s="1" t="s">
        <v>91</v>
      </c>
      <c r="I13" s="4">
        <v>4</v>
      </c>
      <c r="J13" s="4">
        <f>VLOOKUP(H13,품목리스트!$B$5:$C$15,2,FALSE)</f>
        <v>5200000</v>
      </c>
      <c r="K13" s="6">
        <f t="shared" si="0"/>
        <v>20800000</v>
      </c>
      <c r="L13" s="6">
        <f t="shared" si="1"/>
        <v>22880000</v>
      </c>
      <c r="M13" s="1" t="s">
        <v>41</v>
      </c>
      <c r="N13" s="1" t="s">
        <v>39</v>
      </c>
    </row>
    <row r="14" spans="1:14" ht="18" customHeight="1">
      <c r="A14" s="1">
        <v>8</v>
      </c>
      <c r="B14" s="1">
        <v>2022</v>
      </c>
      <c r="C14" s="1" t="s">
        <v>50</v>
      </c>
      <c r="D14" s="3">
        <v>44627</v>
      </c>
      <c r="E14" s="1" t="s">
        <v>36</v>
      </c>
      <c r="F14" s="1" t="s">
        <v>52</v>
      </c>
      <c r="G14" s="1" t="s">
        <v>93</v>
      </c>
      <c r="H14" s="1" t="s">
        <v>10</v>
      </c>
      <c r="I14" s="4">
        <v>3</v>
      </c>
      <c r="J14" s="4">
        <f>VLOOKUP(H14,품목리스트!$B$5:$C$15,2,FALSE)</f>
        <v>4500000</v>
      </c>
      <c r="K14" s="6">
        <f t="shared" si="0"/>
        <v>13500000</v>
      </c>
      <c r="L14" s="6">
        <f t="shared" si="1"/>
        <v>14850000</v>
      </c>
      <c r="M14" s="1" t="s">
        <v>41</v>
      </c>
      <c r="N14" s="1" t="s">
        <v>45</v>
      </c>
    </row>
    <row r="15" spans="1:14" ht="18" customHeight="1">
      <c r="A15" s="1">
        <v>9</v>
      </c>
      <c r="B15" s="1">
        <v>2022</v>
      </c>
      <c r="C15" s="1" t="s">
        <v>53</v>
      </c>
      <c r="D15" s="3">
        <v>44659</v>
      </c>
      <c r="E15" s="1" t="s">
        <v>51</v>
      </c>
      <c r="F15" s="1" t="s">
        <v>54</v>
      </c>
      <c r="G15" s="1" t="s">
        <v>93</v>
      </c>
      <c r="H15" s="1" t="s">
        <v>91</v>
      </c>
      <c r="I15" s="4">
        <v>54</v>
      </c>
      <c r="J15" s="4">
        <f>VLOOKUP(H15,품목리스트!$B$5:$C$15,2,FALSE)</f>
        <v>5200000</v>
      </c>
      <c r="K15" s="6">
        <f t="shared" si="0"/>
        <v>280800000</v>
      </c>
      <c r="L15" s="6">
        <f t="shared" si="1"/>
        <v>308880000</v>
      </c>
      <c r="M15" s="1" t="s">
        <v>38</v>
      </c>
      <c r="N15" s="1" t="s">
        <v>55</v>
      </c>
    </row>
    <row r="16" spans="1:14" ht="18" customHeight="1">
      <c r="A16" s="1">
        <v>10</v>
      </c>
      <c r="B16" s="1">
        <v>2022</v>
      </c>
      <c r="C16" s="1" t="s">
        <v>53</v>
      </c>
      <c r="D16" s="3">
        <v>44674</v>
      </c>
      <c r="E16" s="1" t="s">
        <v>56</v>
      </c>
      <c r="F16" s="1" t="s">
        <v>49</v>
      </c>
      <c r="G16" s="1" t="s">
        <v>12</v>
      </c>
      <c r="H16" s="1" t="s">
        <v>14</v>
      </c>
      <c r="I16" s="4">
        <v>4</v>
      </c>
      <c r="J16" s="4">
        <f>VLOOKUP(H16,품목리스트!$B$5:$C$15,2,FALSE)</f>
        <v>4800000</v>
      </c>
      <c r="K16" s="6">
        <f t="shared" si="0"/>
        <v>19200000</v>
      </c>
      <c r="L16" s="6">
        <f t="shared" si="1"/>
        <v>21120000</v>
      </c>
      <c r="M16" s="1" t="s">
        <v>41</v>
      </c>
      <c r="N16" s="1" t="s">
        <v>39</v>
      </c>
    </row>
    <row r="17" spans="1:14" ht="18" customHeight="1">
      <c r="A17" s="1">
        <v>11</v>
      </c>
      <c r="B17" s="1">
        <v>2022</v>
      </c>
      <c r="C17" s="1" t="s">
        <v>53</v>
      </c>
      <c r="D17" s="3">
        <v>44672</v>
      </c>
      <c r="E17" s="1" t="s">
        <v>46</v>
      </c>
      <c r="F17" s="1" t="s">
        <v>57</v>
      </c>
      <c r="G17" s="1" t="s">
        <v>6</v>
      </c>
      <c r="H17" s="1" t="s">
        <v>7</v>
      </c>
      <c r="I17" s="4">
        <v>1</v>
      </c>
      <c r="J17" s="4">
        <f>VLOOKUP(H17,품목리스트!$B$5:$C$15,2,FALSE)</f>
        <v>130000</v>
      </c>
      <c r="K17" s="6">
        <f t="shared" si="0"/>
        <v>130000</v>
      </c>
      <c r="L17" s="6">
        <f t="shared" si="1"/>
        <v>143000</v>
      </c>
      <c r="M17" s="1" t="s">
        <v>38</v>
      </c>
      <c r="N17" s="1" t="s">
        <v>45</v>
      </c>
    </row>
    <row r="18" spans="1:14" ht="18" customHeight="1">
      <c r="A18" s="1">
        <v>12</v>
      </c>
      <c r="B18" s="1">
        <v>2022</v>
      </c>
      <c r="C18" s="1" t="s">
        <v>58</v>
      </c>
      <c r="D18" s="3">
        <v>44703</v>
      </c>
      <c r="E18" s="1" t="s">
        <v>59</v>
      </c>
      <c r="F18" s="1" t="s">
        <v>49</v>
      </c>
      <c r="G18" s="1" t="s">
        <v>93</v>
      </c>
      <c r="H18" s="1" t="s">
        <v>10</v>
      </c>
      <c r="I18" s="4">
        <v>53</v>
      </c>
      <c r="J18" s="4">
        <f>VLOOKUP(H18,품목리스트!$B$5:$C$15,2,FALSE)</f>
        <v>4500000</v>
      </c>
      <c r="K18" s="6">
        <f t="shared" si="0"/>
        <v>238500000</v>
      </c>
      <c r="L18" s="6">
        <f t="shared" si="1"/>
        <v>262350000</v>
      </c>
      <c r="M18" s="1" t="s">
        <v>41</v>
      </c>
      <c r="N18" s="1" t="s">
        <v>45</v>
      </c>
    </row>
    <row r="19" spans="1:14" ht="18" customHeight="1">
      <c r="A19" s="1">
        <v>13</v>
      </c>
      <c r="B19" s="1">
        <v>2022</v>
      </c>
      <c r="C19" s="1" t="s">
        <v>58</v>
      </c>
      <c r="D19" s="3">
        <v>44692</v>
      </c>
      <c r="E19" s="1" t="s">
        <v>56</v>
      </c>
      <c r="F19" s="1" t="s">
        <v>60</v>
      </c>
      <c r="G19" s="1" t="s">
        <v>12</v>
      </c>
      <c r="H19" s="1" t="s">
        <v>15</v>
      </c>
      <c r="I19" s="4">
        <v>3</v>
      </c>
      <c r="J19" s="4">
        <f>VLOOKUP(H19,품목리스트!$B$5:$C$15,2,FALSE)</f>
        <v>60000</v>
      </c>
      <c r="K19" s="6">
        <f t="shared" si="0"/>
        <v>180000</v>
      </c>
      <c r="L19" s="6">
        <f t="shared" si="1"/>
        <v>198000</v>
      </c>
      <c r="M19" s="1" t="s">
        <v>41</v>
      </c>
      <c r="N19" s="1" t="s">
        <v>39</v>
      </c>
    </row>
    <row r="20" spans="1:14" ht="18" customHeight="1">
      <c r="A20" s="1">
        <v>14</v>
      </c>
      <c r="B20" s="1">
        <v>2022</v>
      </c>
      <c r="C20" s="1" t="s">
        <v>61</v>
      </c>
      <c r="D20" s="3">
        <v>44730</v>
      </c>
      <c r="E20" s="1" t="s">
        <v>43</v>
      </c>
      <c r="F20" s="1" t="s">
        <v>54</v>
      </c>
      <c r="G20" s="1" t="s">
        <v>16</v>
      </c>
      <c r="H20" s="1" t="s">
        <v>18</v>
      </c>
      <c r="I20" s="4">
        <v>57</v>
      </c>
      <c r="J20" s="4">
        <f>VLOOKUP(H20,품목리스트!$B$5:$C$15,2,FALSE)</f>
        <v>240000</v>
      </c>
      <c r="K20" s="6">
        <f t="shared" si="0"/>
        <v>13680000</v>
      </c>
      <c r="L20" s="6">
        <f t="shared" si="1"/>
        <v>15048000</v>
      </c>
      <c r="M20" s="1" t="s">
        <v>38</v>
      </c>
      <c r="N20" s="1" t="s">
        <v>48</v>
      </c>
    </row>
    <row r="21" spans="1:14" ht="18" customHeight="1">
      <c r="A21" s="1">
        <v>15</v>
      </c>
      <c r="B21" s="1">
        <v>2022</v>
      </c>
      <c r="C21" s="1" t="s">
        <v>61</v>
      </c>
      <c r="D21" s="3">
        <v>44730</v>
      </c>
      <c r="E21" s="1" t="s">
        <v>36</v>
      </c>
      <c r="F21" s="1" t="s">
        <v>37</v>
      </c>
      <c r="G21" s="1" t="s">
        <v>16</v>
      </c>
      <c r="H21" s="1" t="s">
        <v>17</v>
      </c>
      <c r="I21" s="4">
        <v>4</v>
      </c>
      <c r="J21" s="4">
        <f>VLOOKUP(H21,품목리스트!$B$5:$C$15,2,FALSE)</f>
        <v>180000</v>
      </c>
      <c r="K21" s="6">
        <f t="shared" si="0"/>
        <v>720000</v>
      </c>
      <c r="L21" s="6">
        <f t="shared" si="1"/>
        <v>792000</v>
      </c>
      <c r="M21" s="1" t="s">
        <v>38</v>
      </c>
      <c r="N21" s="1" t="s">
        <v>48</v>
      </c>
    </row>
    <row r="22" spans="1:14" ht="18" customHeight="1">
      <c r="A22" s="1">
        <v>16</v>
      </c>
      <c r="B22" s="1">
        <v>2022</v>
      </c>
      <c r="C22" s="1" t="s">
        <v>61</v>
      </c>
      <c r="D22" s="3">
        <v>44735</v>
      </c>
      <c r="E22" s="1" t="s">
        <v>43</v>
      </c>
      <c r="F22" s="1" t="s">
        <v>44</v>
      </c>
      <c r="G22" s="1" t="s">
        <v>16</v>
      </c>
      <c r="H22" s="1" t="s">
        <v>18</v>
      </c>
      <c r="I22" s="4">
        <v>1</v>
      </c>
      <c r="J22" s="4">
        <f>VLOOKUP(H22,품목리스트!$B$5:$C$15,2,FALSE)</f>
        <v>240000</v>
      </c>
      <c r="K22" s="6">
        <f t="shared" si="0"/>
        <v>240000</v>
      </c>
      <c r="L22" s="6">
        <f t="shared" si="1"/>
        <v>264000</v>
      </c>
      <c r="M22" s="1" t="s">
        <v>41</v>
      </c>
      <c r="N22" s="1" t="s">
        <v>48</v>
      </c>
    </row>
    <row r="23" spans="1:14" ht="18" customHeight="1">
      <c r="A23" s="1">
        <v>17</v>
      </c>
      <c r="B23" s="1">
        <v>2022</v>
      </c>
      <c r="C23" s="1" t="s">
        <v>61</v>
      </c>
      <c r="D23" s="3">
        <v>44735</v>
      </c>
      <c r="E23" s="1" t="s">
        <v>62</v>
      </c>
      <c r="F23" s="1" t="s">
        <v>47</v>
      </c>
      <c r="G23" s="1" t="s">
        <v>16</v>
      </c>
      <c r="H23" s="1" t="s">
        <v>18</v>
      </c>
      <c r="I23" s="4">
        <v>3</v>
      </c>
      <c r="J23" s="4">
        <f>VLOOKUP(H23,품목리스트!$B$5:$C$15,2,FALSE)</f>
        <v>240000</v>
      </c>
      <c r="K23" s="6">
        <f t="shared" si="0"/>
        <v>720000</v>
      </c>
      <c r="L23" s="6">
        <f t="shared" si="1"/>
        <v>792000</v>
      </c>
      <c r="M23" s="1" t="s">
        <v>41</v>
      </c>
      <c r="N23" s="1" t="s">
        <v>45</v>
      </c>
    </row>
    <row r="24" spans="1:14" ht="18" customHeight="1">
      <c r="A24" s="1">
        <v>18</v>
      </c>
      <c r="B24" s="1">
        <v>2022</v>
      </c>
      <c r="C24" s="1" t="s">
        <v>63</v>
      </c>
      <c r="D24" s="3">
        <v>44747</v>
      </c>
      <c r="E24" s="1" t="s">
        <v>59</v>
      </c>
      <c r="F24" s="1" t="s">
        <v>60</v>
      </c>
      <c r="G24" s="1" t="s">
        <v>16</v>
      </c>
      <c r="H24" s="1" t="s">
        <v>17</v>
      </c>
      <c r="I24" s="4">
        <v>59</v>
      </c>
      <c r="J24" s="4">
        <f>VLOOKUP(H24,품목리스트!$B$5:$C$15,2,FALSE)</f>
        <v>180000</v>
      </c>
      <c r="K24" s="6">
        <f t="shared" si="0"/>
        <v>10620000</v>
      </c>
      <c r="L24" s="6">
        <f t="shared" si="1"/>
        <v>11682000</v>
      </c>
      <c r="M24" s="1" t="s">
        <v>41</v>
      </c>
      <c r="N24" s="1" t="s">
        <v>48</v>
      </c>
    </row>
    <row r="25" spans="1:14" ht="18" customHeight="1">
      <c r="A25" s="1">
        <v>19</v>
      </c>
      <c r="B25" s="1">
        <v>2022</v>
      </c>
      <c r="C25" s="1" t="s">
        <v>63</v>
      </c>
      <c r="D25" s="3">
        <v>44760</v>
      </c>
      <c r="E25" s="1" t="s">
        <v>64</v>
      </c>
      <c r="F25" s="1" t="s">
        <v>40</v>
      </c>
      <c r="G25" s="1" t="s">
        <v>6</v>
      </c>
      <c r="H25" s="1" t="s">
        <v>8</v>
      </c>
      <c r="I25" s="4">
        <v>3</v>
      </c>
      <c r="J25" s="4">
        <f>VLOOKUP(H25,품목리스트!$B$5:$C$15,2,FALSE)</f>
        <v>145000</v>
      </c>
      <c r="K25" s="6">
        <f t="shared" si="0"/>
        <v>435000</v>
      </c>
      <c r="L25" s="6">
        <f t="shared" si="1"/>
        <v>478500</v>
      </c>
      <c r="M25" s="1" t="s">
        <v>41</v>
      </c>
      <c r="N25" s="1" t="s">
        <v>55</v>
      </c>
    </row>
    <row r="26" spans="1:14" ht="18" customHeight="1">
      <c r="A26" s="1">
        <v>20</v>
      </c>
      <c r="B26" s="1">
        <v>2022</v>
      </c>
      <c r="C26" s="1" t="s">
        <v>65</v>
      </c>
      <c r="D26" s="3">
        <v>44793</v>
      </c>
      <c r="E26" s="1" t="s">
        <v>56</v>
      </c>
      <c r="F26" s="1" t="s">
        <v>66</v>
      </c>
      <c r="G26" s="1" t="s">
        <v>6</v>
      </c>
      <c r="H26" s="1" t="s">
        <v>7</v>
      </c>
      <c r="I26" s="4">
        <v>72</v>
      </c>
      <c r="J26" s="4">
        <f>VLOOKUP(H26,품목리스트!$B$5:$C$15,2,FALSE)</f>
        <v>130000</v>
      </c>
      <c r="K26" s="6">
        <f t="shared" si="0"/>
        <v>9360000</v>
      </c>
      <c r="L26" s="6">
        <f t="shared" si="1"/>
        <v>10296000</v>
      </c>
      <c r="M26" s="1" t="s">
        <v>41</v>
      </c>
      <c r="N26" s="1" t="s">
        <v>48</v>
      </c>
    </row>
    <row r="27" spans="1:14" ht="18" customHeight="1">
      <c r="A27" s="1">
        <v>21</v>
      </c>
      <c r="B27" s="1">
        <v>2022</v>
      </c>
      <c r="C27" s="1" t="s">
        <v>65</v>
      </c>
      <c r="D27" s="3">
        <v>44789</v>
      </c>
      <c r="E27" s="1" t="s">
        <v>62</v>
      </c>
      <c r="F27" s="1" t="s">
        <v>57</v>
      </c>
      <c r="G27" s="1" t="s">
        <v>12</v>
      </c>
      <c r="H27" s="1" t="s">
        <v>13</v>
      </c>
      <c r="I27" s="4">
        <v>3</v>
      </c>
      <c r="J27" s="4">
        <f>VLOOKUP(H27,품목리스트!$B$5:$C$15,2,FALSE)</f>
        <v>4200000</v>
      </c>
      <c r="K27" s="6">
        <f t="shared" si="0"/>
        <v>12600000</v>
      </c>
      <c r="L27" s="6">
        <f t="shared" si="1"/>
        <v>13860000</v>
      </c>
      <c r="M27" s="1" t="s">
        <v>38</v>
      </c>
      <c r="N27" s="1" t="s">
        <v>48</v>
      </c>
    </row>
    <row r="28" spans="1:14" ht="18" customHeight="1">
      <c r="A28" s="1">
        <v>22</v>
      </c>
      <c r="B28" s="1">
        <v>2022</v>
      </c>
      <c r="C28" s="1" t="s">
        <v>65</v>
      </c>
      <c r="D28" s="3">
        <v>44787</v>
      </c>
      <c r="E28" s="1" t="s">
        <v>67</v>
      </c>
      <c r="F28" s="1" t="s">
        <v>66</v>
      </c>
      <c r="G28" s="1" t="s">
        <v>93</v>
      </c>
      <c r="H28" s="1" t="s">
        <v>10</v>
      </c>
      <c r="I28" s="4">
        <v>1</v>
      </c>
      <c r="J28" s="4">
        <f>VLOOKUP(H28,품목리스트!$B$5:$C$15,2,FALSE)</f>
        <v>4500000</v>
      </c>
      <c r="K28" s="6">
        <f t="shared" si="0"/>
        <v>4500000</v>
      </c>
      <c r="L28" s="6">
        <f t="shared" si="1"/>
        <v>4950000</v>
      </c>
      <c r="M28" s="1" t="s">
        <v>41</v>
      </c>
      <c r="N28" s="1" t="s">
        <v>48</v>
      </c>
    </row>
    <row r="29" spans="1:14" ht="18" customHeight="1">
      <c r="A29" s="1">
        <v>23</v>
      </c>
      <c r="B29" s="1">
        <v>2022</v>
      </c>
      <c r="C29" s="1" t="s">
        <v>68</v>
      </c>
      <c r="D29" s="3">
        <v>44827</v>
      </c>
      <c r="E29" s="1" t="s">
        <v>56</v>
      </c>
      <c r="F29" s="1" t="s">
        <v>44</v>
      </c>
      <c r="G29" s="1" t="s">
        <v>6</v>
      </c>
      <c r="H29" s="1" t="s">
        <v>9</v>
      </c>
      <c r="I29" s="4">
        <v>87</v>
      </c>
      <c r="J29" s="4">
        <f>VLOOKUP(H29,품목리스트!$B$5:$C$15,2,FALSE)</f>
        <v>175000</v>
      </c>
      <c r="K29" s="6">
        <f t="shared" si="0"/>
        <v>15225000</v>
      </c>
      <c r="L29" s="6">
        <f t="shared" si="1"/>
        <v>16747500</v>
      </c>
      <c r="M29" s="1" t="s">
        <v>41</v>
      </c>
      <c r="N29" s="1" t="s">
        <v>39</v>
      </c>
    </row>
    <row r="30" spans="1:14" ht="18" customHeight="1">
      <c r="A30" s="1">
        <v>24</v>
      </c>
      <c r="B30" s="1">
        <v>2022</v>
      </c>
      <c r="C30" s="1" t="s">
        <v>68</v>
      </c>
      <c r="D30" s="3">
        <v>44811</v>
      </c>
      <c r="E30" s="1" t="s">
        <v>56</v>
      </c>
      <c r="F30" s="1" t="s">
        <v>40</v>
      </c>
      <c r="G30" s="1" t="s">
        <v>93</v>
      </c>
      <c r="H30" s="1" t="s">
        <v>91</v>
      </c>
      <c r="I30" s="4">
        <v>5</v>
      </c>
      <c r="J30" s="4">
        <f>VLOOKUP(H30,품목리스트!$B$5:$C$15,2,FALSE)</f>
        <v>5200000</v>
      </c>
      <c r="K30" s="6">
        <f t="shared" si="0"/>
        <v>26000000</v>
      </c>
      <c r="L30" s="6">
        <f t="shared" si="1"/>
        <v>28600000</v>
      </c>
      <c r="M30" s="1" t="s">
        <v>41</v>
      </c>
      <c r="N30" s="1" t="s">
        <v>55</v>
      </c>
    </row>
    <row r="31" spans="1:14" ht="18" customHeight="1">
      <c r="A31" s="1">
        <v>25</v>
      </c>
      <c r="B31" s="1">
        <v>2022</v>
      </c>
      <c r="C31" s="1" t="s">
        <v>68</v>
      </c>
      <c r="D31" s="3">
        <v>44824</v>
      </c>
      <c r="E31" s="1" t="s">
        <v>51</v>
      </c>
      <c r="F31" s="1" t="s">
        <v>69</v>
      </c>
      <c r="G31" s="1" t="s">
        <v>93</v>
      </c>
      <c r="H31" s="1" t="s">
        <v>11</v>
      </c>
      <c r="I31" s="4">
        <v>3</v>
      </c>
      <c r="J31" s="4">
        <f>VLOOKUP(H31,품목리스트!$B$5:$C$15,2,FALSE)</f>
        <v>6000000</v>
      </c>
      <c r="K31" s="6">
        <f t="shared" si="0"/>
        <v>18000000</v>
      </c>
      <c r="L31" s="6">
        <f t="shared" si="1"/>
        <v>19800000</v>
      </c>
      <c r="M31" s="1" t="s">
        <v>41</v>
      </c>
      <c r="N31" s="1" t="s">
        <v>45</v>
      </c>
    </row>
    <row r="32" spans="1:14" ht="18" customHeight="1">
      <c r="A32" s="1">
        <v>26</v>
      </c>
      <c r="B32" s="1">
        <v>2022</v>
      </c>
      <c r="C32" s="1" t="s">
        <v>70</v>
      </c>
      <c r="D32" s="3">
        <v>44855</v>
      </c>
      <c r="E32" s="1" t="s">
        <v>51</v>
      </c>
      <c r="F32" s="1" t="s">
        <v>44</v>
      </c>
      <c r="G32" s="1" t="s">
        <v>6</v>
      </c>
      <c r="H32" s="1" t="s">
        <v>8</v>
      </c>
      <c r="I32" s="4">
        <v>56</v>
      </c>
      <c r="J32" s="4">
        <f>VLOOKUP(H32,품목리스트!$B$5:$C$15,2,FALSE)</f>
        <v>145000</v>
      </c>
      <c r="K32" s="6">
        <f t="shared" si="0"/>
        <v>8120000</v>
      </c>
      <c r="L32" s="6">
        <f t="shared" si="1"/>
        <v>8932000</v>
      </c>
      <c r="M32" s="1" t="s">
        <v>41</v>
      </c>
      <c r="N32" s="1" t="s">
        <v>48</v>
      </c>
    </row>
    <row r="33" spans="1:14" ht="18" customHeight="1">
      <c r="A33" s="1">
        <v>27</v>
      </c>
      <c r="B33" s="1">
        <v>2022</v>
      </c>
      <c r="C33" s="1" t="s">
        <v>70</v>
      </c>
      <c r="D33" s="3">
        <v>44840</v>
      </c>
      <c r="E33" s="1" t="s">
        <v>46</v>
      </c>
      <c r="F33" s="1" t="s">
        <v>60</v>
      </c>
      <c r="G33" s="1" t="s">
        <v>16</v>
      </c>
      <c r="H33" s="1" t="s">
        <v>17</v>
      </c>
      <c r="I33" s="4">
        <v>3</v>
      </c>
      <c r="J33" s="4">
        <f>VLOOKUP(H33,품목리스트!$B$5:$C$15,2,FALSE)</f>
        <v>180000</v>
      </c>
      <c r="K33" s="6">
        <f t="shared" si="0"/>
        <v>540000</v>
      </c>
      <c r="L33" s="6">
        <f t="shared" si="1"/>
        <v>594000</v>
      </c>
      <c r="M33" s="1" t="s">
        <v>41</v>
      </c>
      <c r="N33" s="1" t="s">
        <v>48</v>
      </c>
    </row>
    <row r="34" spans="1:14" ht="18" customHeight="1">
      <c r="A34" s="1">
        <v>28</v>
      </c>
      <c r="B34" s="1">
        <v>2022</v>
      </c>
      <c r="C34" s="1" t="s">
        <v>70</v>
      </c>
      <c r="D34" s="3">
        <v>44858</v>
      </c>
      <c r="E34" s="1" t="s">
        <v>67</v>
      </c>
      <c r="F34" s="1" t="s">
        <v>71</v>
      </c>
      <c r="G34" s="1" t="s">
        <v>12</v>
      </c>
      <c r="H34" s="1" t="s">
        <v>14</v>
      </c>
      <c r="I34" s="4">
        <v>1</v>
      </c>
      <c r="J34" s="4">
        <f>VLOOKUP(H34,품목리스트!$B$5:$C$15,2,FALSE)</f>
        <v>4800000</v>
      </c>
      <c r="K34" s="6">
        <f t="shared" si="0"/>
        <v>4800000</v>
      </c>
      <c r="L34" s="6">
        <f t="shared" si="1"/>
        <v>5280000</v>
      </c>
      <c r="M34" s="1" t="s">
        <v>38</v>
      </c>
      <c r="N34" s="1" t="s">
        <v>48</v>
      </c>
    </row>
    <row r="35" spans="1:14" ht="18" customHeight="1">
      <c r="A35" s="1">
        <v>29</v>
      </c>
      <c r="B35" s="1">
        <v>2022</v>
      </c>
      <c r="C35" s="1" t="s">
        <v>72</v>
      </c>
      <c r="D35" s="3">
        <v>44879</v>
      </c>
      <c r="E35" s="1" t="s">
        <v>59</v>
      </c>
      <c r="F35" s="1" t="s">
        <v>52</v>
      </c>
      <c r="G35" s="1" t="s">
        <v>16</v>
      </c>
      <c r="H35" s="1" t="s">
        <v>18</v>
      </c>
      <c r="I35" s="4">
        <v>48</v>
      </c>
      <c r="J35" s="4">
        <f>VLOOKUP(H35,품목리스트!$B$5:$C$15,2,FALSE)</f>
        <v>240000</v>
      </c>
      <c r="K35" s="6">
        <f t="shared" si="0"/>
        <v>11520000</v>
      </c>
      <c r="L35" s="6">
        <f t="shared" si="1"/>
        <v>12672000</v>
      </c>
      <c r="M35" s="1" t="s">
        <v>41</v>
      </c>
      <c r="N35" s="1" t="s">
        <v>55</v>
      </c>
    </row>
    <row r="36" spans="1:14" ht="18" customHeight="1">
      <c r="A36" s="1">
        <v>30</v>
      </c>
      <c r="B36" s="1">
        <v>2022</v>
      </c>
      <c r="C36" s="1" t="s">
        <v>72</v>
      </c>
      <c r="D36" s="3">
        <v>44891</v>
      </c>
      <c r="E36" s="1" t="s">
        <v>67</v>
      </c>
      <c r="F36" s="1" t="s">
        <v>73</v>
      </c>
      <c r="G36" s="1" t="s">
        <v>6</v>
      </c>
      <c r="H36" s="1" t="s">
        <v>8</v>
      </c>
      <c r="I36" s="4">
        <v>4</v>
      </c>
      <c r="J36" s="4">
        <f>VLOOKUP(H36,품목리스트!$B$5:$C$15,2,FALSE)</f>
        <v>145000</v>
      </c>
      <c r="K36" s="6">
        <f t="shared" si="0"/>
        <v>580000</v>
      </c>
      <c r="L36" s="6">
        <f t="shared" si="1"/>
        <v>638000</v>
      </c>
      <c r="M36" s="1" t="s">
        <v>38</v>
      </c>
      <c r="N36" s="1" t="s">
        <v>48</v>
      </c>
    </row>
    <row r="37" spans="1:14" ht="18" customHeight="1">
      <c r="A37" s="1">
        <v>31</v>
      </c>
      <c r="B37" s="1">
        <v>2022</v>
      </c>
      <c r="C37" s="1" t="s">
        <v>74</v>
      </c>
      <c r="D37" s="3">
        <v>44898</v>
      </c>
      <c r="E37" s="1" t="s">
        <v>46</v>
      </c>
      <c r="F37" s="1" t="s">
        <v>37</v>
      </c>
      <c r="G37" s="1" t="s">
        <v>12</v>
      </c>
      <c r="H37" s="1" t="s">
        <v>14</v>
      </c>
      <c r="I37" s="4">
        <v>70</v>
      </c>
      <c r="J37" s="4">
        <f>VLOOKUP(H37,품목리스트!$B$5:$C$15,2,FALSE)</f>
        <v>4800000</v>
      </c>
      <c r="K37" s="6">
        <f t="shared" si="0"/>
        <v>336000000</v>
      </c>
      <c r="L37" s="6">
        <f t="shared" si="1"/>
        <v>369600000</v>
      </c>
      <c r="M37" s="1" t="s">
        <v>38</v>
      </c>
      <c r="N37" s="1" t="s">
        <v>39</v>
      </c>
    </row>
    <row r="38" spans="1:14" ht="18" customHeight="1">
      <c r="A38" s="1">
        <v>32</v>
      </c>
      <c r="B38" s="1">
        <v>2022</v>
      </c>
      <c r="C38" s="1" t="s">
        <v>74</v>
      </c>
      <c r="D38" s="3">
        <v>44903</v>
      </c>
      <c r="E38" s="1" t="s">
        <v>67</v>
      </c>
      <c r="F38" s="1" t="s">
        <v>40</v>
      </c>
      <c r="G38" s="1" t="s">
        <v>93</v>
      </c>
      <c r="H38" s="1" t="s">
        <v>11</v>
      </c>
      <c r="I38" s="4">
        <v>4</v>
      </c>
      <c r="J38" s="4">
        <f>VLOOKUP(H38,품목리스트!$B$5:$C$15,2,FALSE)</f>
        <v>6000000</v>
      </c>
      <c r="K38" s="6">
        <f t="shared" si="0"/>
        <v>24000000</v>
      </c>
      <c r="L38" s="6">
        <f t="shared" si="1"/>
        <v>26400000</v>
      </c>
      <c r="M38" s="1" t="s">
        <v>41</v>
      </c>
      <c r="N38" s="1" t="s">
        <v>39</v>
      </c>
    </row>
    <row r="39" spans="1:14" ht="18" customHeight="1">
      <c r="A39" s="1">
        <v>33</v>
      </c>
      <c r="B39" s="1">
        <v>2022</v>
      </c>
      <c r="C39" s="1" t="s">
        <v>74</v>
      </c>
      <c r="D39" s="3">
        <v>44912</v>
      </c>
      <c r="E39" s="1" t="s">
        <v>51</v>
      </c>
      <c r="F39" s="1" t="s">
        <v>47</v>
      </c>
      <c r="G39" s="1" t="s">
        <v>93</v>
      </c>
      <c r="H39" s="1" t="s">
        <v>11</v>
      </c>
      <c r="I39" s="4">
        <v>1</v>
      </c>
      <c r="J39" s="4">
        <f>VLOOKUP(H39,품목리스트!$B$5:$C$15,2,FALSE)</f>
        <v>6000000</v>
      </c>
      <c r="K39" s="6">
        <f t="shared" ref="K39:K70" si="2">ROUND(I39*J39,0)</f>
        <v>6000000</v>
      </c>
      <c r="L39" s="6">
        <f t="shared" ref="L39:L70" si="3">ROUND(K39*(1+$B$5),0)</f>
        <v>6600000</v>
      </c>
      <c r="M39" s="1" t="s">
        <v>41</v>
      </c>
      <c r="N39" s="1" t="s">
        <v>48</v>
      </c>
    </row>
    <row r="40" spans="1:14" ht="18" customHeight="1">
      <c r="A40" s="1">
        <v>34</v>
      </c>
      <c r="B40" s="1">
        <v>2022</v>
      </c>
      <c r="C40" s="1" t="s">
        <v>74</v>
      </c>
      <c r="D40" s="3">
        <v>44911</v>
      </c>
      <c r="E40" s="1" t="s">
        <v>43</v>
      </c>
      <c r="F40" s="1" t="s">
        <v>60</v>
      </c>
      <c r="G40" s="1" t="s">
        <v>12</v>
      </c>
      <c r="H40" s="1" t="s">
        <v>13</v>
      </c>
      <c r="I40" s="4">
        <v>2</v>
      </c>
      <c r="J40" s="4">
        <f>VLOOKUP(H40,품목리스트!$B$5:$C$15,2,FALSE)</f>
        <v>4200000</v>
      </c>
      <c r="K40" s="6">
        <f t="shared" si="2"/>
        <v>8400000</v>
      </c>
      <c r="L40" s="6">
        <f t="shared" si="3"/>
        <v>9240000</v>
      </c>
      <c r="M40" s="1" t="s">
        <v>41</v>
      </c>
      <c r="N40" s="1" t="s">
        <v>39</v>
      </c>
    </row>
    <row r="41" spans="1:14" ht="18" customHeight="1">
      <c r="A41" s="1">
        <v>35</v>
      </c>
      <c r="B41" s="1">
        <v>2023</v>
      </c>
      <c r="C41" s="1" t="s">
        <v>35</v>
      </c>
      <c r="D41" s="3">
        <v>44936</v>
      </c>
      <c r="E41" s="1" t="s">
        <v>51</v>
      </c>
      <c r="F41" s="1" t="s">
        <v>75</v>
      </c>
      <c r="G41" s="1" t="s">
        <v>12</v>
      </c>
      <c r="H41" s="1" t="s">
        <v>14</v>
      </c>
      <c r="I41" s="4">
        <v>70</v>
      </c>
      <c r="J41" s="4">
        <f>VLOOKUP(H41,품목리스트!$B$5:$C$15,2,FALSE)</f>
        <v>4800000</v>
      </c>
      <c r="K41" s="6">
        <f t="shared" si="2"/>
        <v>336000000</v>
      </c>
      <c r="L41" s="6">
        <f t="shared" si="3"/>
        <v>369600000</v>
      </c>
      <c r="M41" s="1" t="s">
        <v>41</v>
      </c>
      <c r="N41" s="1" t="s">
        <v>48</v>
      </c>
    </row>
    <row r="42" spans="1:14" ht="18" customHeight="1">
      <c r="A42" s="1">
        <v>36</v>
      </c>
      <c r="B42" s="1">
        <v>2023</v>
      </c>
      <c r="C42" s="1" t="s">
        <v>35</v>
      </c>
      <c r="D42" s="3">
        <v>44948</v>
      </c>
      <c r="E42" s="1" t="s">
        <v>62</v>
      </c>
      <c r="F42" s="1" t="s">
        <v>52</v>
      </c>
      <c r="G42" s="1" t="s">
        <v>12</v>
      </c>
      <c r="H42" s="1" t="s">
        <v>14</v>
      </c>
      <c r="I42" s="4">
        <v>3</v>
      </c>
      <c r="J42" s="4">
        <f>VLOOKUP(H42,품목리스트!$B$5:$C$15,2,FALSE)</f>
        <v>4800000</v>
      </c>
      <c r="K42" s="6">
        <f t="shared" si="2"/>
        <v>14400000</v>
      </c>
      <c r="L42" s="6">
        <f t="shared" si="3"/>
        <v>15840000</v>
      </c>
      <c r="M42" s="1" t="s">
        <v>41</v>
      </c>
      <c r="N42" s="1" t="s">
        <v>55</v>
      </c>
    </row>
    <row r="43" spans="1:14" ht="18" customHeight="1">
      <c r="A43" s="1">
        <v>37</v>
      </c>
      <c r="B43" s="1">
        <v>2023</v>
      </c>
      <c r="C43" s="1" t="s">
        <v>42</v>
      </c>
      <c r="D43" s="3">
        <v>44972</v>
      </c>
      <c r="E43" s="1" t="s">
        <v>64</v>
      </c>
      <c r="F43" s="1" t="s">
        <v>76</v>
      </c>
      <c r="G43" s="1" t="s">
        <v>12</v>
      </c>
      <c r="H43" s="1" t="s">
        <v>14</v>
      </c>
      <c r="I43" s="4">
        <v>75</v>
      </c>
      <c r="J43" s="4">
        <f>VLOOKUP(H43,품목리스트!$B$5:$C$15,2,FALSE)</f>
        <v>4800000</v>
      </c>
      <c r="K43" s="6">
        <f t="shared" si="2"/>
        <v>360000000</v>
      </c>
      <c r="L43" s="6">
        <f t="shared" si="3"/>
        <v>396000000</v>
      </c>
      <c r="M43" s="1" t="s">
        <v>41</v>
      </c>
      <c r="N43" s="1" t="s">
        <v>55</v>
      </c>
    </row>
    <row r="44" spans="1:14" ht="18" customHeight="1">
      <c r="A44" s="1">
        <v>38</v>
      </c>
      <c r="B44" s="1">
        <v>2023</v>
      </c>
      <c r="C44" s="1" t="s">
        <v>42</v>
      </c>
      <c r="D44" s="3">
        <v>44969</v>
      </c>
      <c r="E44" s="1" t="s">
        <v>51</v>
      </c>
      <c r="F44" s="1" t="s">
        <v>66</v>
      </c>
      <c r="G44" s="1" t="s">
        <v>93</v>
      </c>
      <c r="H44" s="1" t="s">
        <v>91</v>
      </c>
      <c r="I44" s="4">
        <v>4</v>
      </c>
      <c r="J44" s="4">
        <f>VLOOKUP(H44,품목리스트!$B$5:$C$15,2,FALSE)</f>
        <v>5200000</v>
      </c>
      <c r="K44" s="6">
        <f t="shared" si="2"/>
        <v>20800000</v>
      </c>
      <c r="L44" s="6">
        <f t="shared" si="3"/>
        <v>22880000</v>
      </c>
      <c r="M44" s="1" t="s">
        <v>41</v>
      </c>
      <c r="N44" s="1" t="s">
        <v>45</v>
      </c>
    </row>
    <row r="45" spans="1:14" ht="18" customHeight="1">
      <c r="A45" s="1">
        <v>39</v>
      </c>
      <c r="B45" s="1">
        <v>2023</v>
      </c>
      <c r="C45" s="1" t="s">
        <v>42</v>
      </c>
      <c r="D45" s="3">
        <v>44960</v>
      </c>
      <c r="E45" s="1" t="s">
        <v>56</v>
      </c>
      <c r="F45" s="1" t="s">
        <v>60</v>
      </c>
      <c r="G45" s="1" t="s">
        <v>6</v>
      </c>
      <c r="H45" s="1" t="s">
        <v>7</v>
      </c>
      <c r="I45" s="4">
        <v>1</v>
      </c>
      <c r="J45" s="4">
        <f>VLOOKUP(H45,품목리스트!$B$5:$C$15,2,FALSE)</f>
        <v>130000</v>
      </c>
      <c r="K45" s="6">
        <f t="shared" si="2"/>
        <v>130000</v>
      </c>
      <c r="L45" s="6">
        <f t="shared" si="3"/>
        <v>143000</v>
      </c>
      <c r="M45" s="1" t="s">
        <v>41</v>
      </c>
      <c r="N45" s="1" t="s">
        <v>48</v>
      </c>
    </row>
    <row r="46" spans="1:14" ht="18" customHeight="1">
      <c r="A46" s="1">
        <v>40</v>
      </c>
      <c r="B46" s="1">
        <v>2023</v>
      </c>
      <c r="C46" s="1" t="s">
        <v>50</v>
      </c>
      <c r="D46" s="3">
        <v>45011</v>
      </c>
      <c r="E46" s="1" t="s">
        <v>56</v>
      </c>
      <c r="F46" s="1" t="s">
        <v>60</v>
      </c>
      <c r="G46" s="1" t="s">
        <v>93</v>
      </c>
      <c r="H46" s="1" t="s">
        <v>10</v>
      </c>
      <c r="I46" s="4">
        <v>76</v>
      </c>
      <c r="J46" s="4">
        <f>VLOOKUP(H46,품목리스트!$B$5:$C$15,2,FALSE)</f>
        <v>4500000</v>
      </c>
      <c r="K46" s="6">
        <f t="shared" si="2"/>
        <v>342000000</v>
      </c>
      <c r="L46" s="6">
        <f t="shared" si="3"/>
        <v>376200000</v>
      </c>
      <c r="M46" s="1" t="s">
        <v>41</v>
      </c>
      <c r="N46" s="1" t="s">
        <v>48</v>
      </c>
    </row>
    <row r="47" spans="1:14" ht="18" customHeight="1">
      <c r="A47" s="1">
        <v>41</v>
      </c>
      <c r="B47" s="1">
        <v>2023</v>
      </c>
      <c r="C47" s="1" t="s">
        <v>50</v>
      </c>
      <c r="D47" s="3">
        <v>44994</v>
      </c>
      <c r="E47" s="1" t="s">
        <v>51</v>
      </c>
      <c r="F47" s="1" t="s">
        <v>73</v>
      </c>
      <c r="G47" s="1" t="s">
        <v>93</v>
      </c>
      <c r="H47" s="1" t="s">
        <v>11</v>
      </c>
      <c r="I47" s="4">
        <v>5</v>
      </c>
      <c r="J47" s="4">
        <f>VLOOKUP(H47,품목리스트!$B$5:$C$15,2,FALSE)</f>
        <v>6000000</v>
      </c>
      <c r="K47" s="6">
        <f t="shared" si="2"/>
        <v>30000000</v>
      </c>
      <c r="L47" s="6">
        <f t="shared" si="3"/>
        <v>33000000</v>
      </c>
      <c r="M47" s="1" t="s">
        <v>38</v>
      </c>
      <c r="N47" s="1" t="s">
        <v>39</v>
      </c>
    </row>
    <row r="48" spans="1:14" ht="18" customHeight="1">
      <c r="A48" s="1">
        <v>42</v>
      </c>
      <c r="B48" s="1">
        <v>2023</v>
      </c>
      <c r="C48" s="1" t="s">
        <v>50</v>
      </c>
      <c r="D48" s="3">
        <v>45008</v>
      </c>
      <c r="E48" s="1" t="s">
        <v>51</v>
      </c>
      <c r="F48" s="1" t="s">
        <v>60</v>
      </c>
      <c r="G48" s="1" t="s">
        <v>93</v>
      </c>
      <c r="H48" s="1" t="s">
        <v>10</v>
      </c>
      <c r="I48" s="4">
        <v>3</v>
      </c>
      <c r="J48" s="4">
        <f>VLOOKUP(H48,품목리스트!$B$5:$C$15,2,FALSE)</f>
        <v>4500000</v>
      </c>
      <c r="K48" s="6">
        <f t="shared" si="2"/>
        <v>13500000</v>
      </c>
      <c r="L48" s="6">
        <f t="shared" si="3"/>
        <v>14850000</v>
      </c>
      <c r="M48" s="1" t="s">
        <v>41</v>
      </c>
      <c r="N48" s="1" t="s">
        <v>48</v>
      </c>
    </row>
    <row r="49" spans="1:14" ht="18" customHeight="1">
      <c r="A49" s="1">
        <v>43</v>
      </c>
      <c r="B49" s="1">
        <v>2023</v>
      </c>
      <c r="C49" s="1" t="s">
        <v>53</v>
      </c>
      <c r="D49" s="3">
        <v>45040</v>
      </c>
      <c r="E49" s="1" t="s">
        <v>62</v>
      </c>
      <c r="F49" s="1" t="s">
        <v>40</v>
      </c>
      <c r="G49" s="1" t="s">
        <v>6</v>
      </c>
      <c r="H49" s="1" t="s">
        <v>7</v>
      </c>
      <c r="I49" s="4">
        <v>82</v>
      </c>
      <c r="J49" s="4">
        <f>VLOOKUP(H49,품목리스트!$B$5:$C$15,2,FALSE)</f>
        <v>130000</v>
      </c>
      <c r="K49" s="6">
        <f t="shared" si="2"/>
        <v>10660000</v>
      </c>
      <c r="L49" s="6">
        <f t="shared" si="3"/>
        <v>11726000</v>
      </c>
      <c r="M49" s="1" t="s">
        <v>41</v>
      </c>
      <c r="N49" s="1" t="s">
        <v>45</v>
      </c>
    </row>
    <row r="50" spans="1:14" ht="18" customHeight="1">
      <c r="A50" s="1">
        <v>44</v>
      </c>
      <c r="B50" s="1">
        <v>2023</v>
      </c>
      <c r="C50" s="1" t="s">
        <v>53</v>
      </c>
      <c r="D50" s="3">
        <v>45020</v>
      </c>
      <c r="E50" s="1" t="s">
        <v>43</v>
      </c>
      <c r="F50" s="1" t="s">
        <v>49</v>
      </c>
      <c r="G50" s="1" t="s">
        <v>93</v>
      </c>
      <c r="H50" s="1" t="s">
        <v>10</v>
      </c>
      <c r="I50" s="4">
        <v>4</v>
      </c>
      <c r="J50" s="4">
        <f>VLOOKUP(H50,품목리스트!$B$5:$C$15,2,FALSE)</f>
        <v>4500000</v>
      </c>
      <c r="K50" s="6">
        <f t="shared" si="2"/>
        <v>18000000</v>
      </c>
      <c r="L50" s="6">
        <f t="shared" si="3"/>
        <v>19800000</v>
      </c>
      <c r="M50" s="1" t="s">
        <v>41</v>
      </c>
      <c r="N50" s="1" t="s">
        <v>45</v>
      </c>
    </row>
    <row r="51" spans="1:14" ht="18" customHeight="1">
      <c r="A51" s="1">
        <v>45</v>
      </c>
      <c r="B51" s="1">
        <v>2023</v>
      </c>
      <c r="C51" s="1" t="s">
        <v>53</v>
      </c>
      <c r="D51" s="3">
        <v>45022</v>
      </c>
      <c r="E51" s="1" t="s">
        <v>67</v>
      </c>
      <c r="F51" s="1" t="s">
        <v>49</v>
      </c>
      <c r="G51" s="1" t="s">
        <v>12</v>
      </c>
      <c r="H51" s="1" t="s">
        <v>14</v>
      </c>
      <c r="I51" s="4">
        <v>1</v>
      </c>
      <c r="J51" s="4">
        <f>VLOOKUP(H51,품목리스트!$B$5:$C$15,2,FALSE)</f>
        <v>4800000</v>
      </c>
      <c r="K51" s="6">
        <f t="shared" si="2"/>
        <v>4800000</v>
      </c>
      <c r="L51" s="6">
        <f t="shared" si="3"/>
        <v>5280000</v>
      </c>
      <c r="M51" s="1" t="s">
        <v>41</v>
      </c>
      <c r="N51" s="1" t="s">
        <v>45</v>
      </c>
    </row>
    <row r="52" spans="1:14" ht="18" customHeight="1">
      <c r="A52" s="1">
        <v>46</v>
      </c>
      <c r="B52" s="1">
        <v>2023</v>
      </c>
      <c r="C52" s="1" t="s">
        <v>58</v>
      </c>
      <c r="D52" s="3">
        <v>45069</v>
      </c>
      <c r="E52" s="1" t="s">
        <v>36</v>
      </c>
      <c r="F52" s="1" t="s">
        <v>66</v>
      </c>
      <c r="G52" s="1" t="s">
        <v>16</v>
      </c>
      <c r="H52" s="1" t="s">
        <v>18</v>
      </c>
      <c r="I52" s="4">
        <v>74</v>
      </c>
      <c r="J52" s="4">
        <f>VLOOKUP(H52,품목리스트!$B$5:$C$15,2,FALSE)</f>
        <v>240000</v>
      </c>
      <c r="K52" s="6">
        <f t="shared" si="2"/>
        <v>17760000</v>
      </c>
      <c r="L52" s="6">
        <f t="shared" si="3"/>
        <v>19536000</v>
      </c>
      <c r="M52" s="1" t="s">
        <v>41</v>
      </c>
      <c r="N52" s="1" t="s">
        <v>48</v>
      </c>
    </row>
    <row r="53" spans="1:14" ht="18" customHeight="1">
      <c r="A53" s="1">
        <v>47</v>
      </c>
      <c r="B53" s="1">
        <v>2023</v>
      </c>
      <c r="C53" s="1" t="s">
        <v>58</v>
      </c>
      <c r="D53" s="3">
        <v>45050</v>
      </c>
      <c r="E53" s="1" t="s">
        <v>46</v>
      </c>
      <c r="F53" s="1" t="s">
        <v>76</v>
      </c>
      <c r="G53" s="1" t="s">
        <v>12</v>
      </c>
      <c r="H53" s="1" t="s">
        <v>15</v>
      </c>
      <c r="I53" s="4">
        <v>4</v>
      </c>
      <c r="J53" s="4">
        <f>VLOOKUP(H53,품목리스트!$B$5:$C$15,2,FALSE)</f>
        <v>60000</v>
      </c>
      <c r="K53" s="6">
        <f t="shared" si="2"/>
        <v>240000</v>
      </c>
      <c r="L53" s="6">
        <f t="shared" si="3"/>
        <v>264000</v>
      </c>
      <c r="M53" s="1" t="s">
        <v>41</v>
      </c>
      <c r="N53" s="1" t="s">
        <v>48</v>
      </c>
    </row>
    <row r="54" spans="1:14" ht="18" customHeight="1">
      <c r="A54" s="1">
        <v>48</v>
      </c>
      <c r="B54" s="1">
        <v>2023</v>
      </c>
      <c r="C54" s="1" t="s">
        <v>61</v>
      </c>
      <c r="D54" s="3">
        <v>45103</v>
      </c>
      <c r="E54" s="1" t="s">
        <v>56</v>
      </c>
      <c r="F54" s="1" t="s">
        <v>77</v>
      </c>
      <c r="G54" s="1" t="s">
        <v>6</v>
      </c>
      <c r="H54" s="1" t="s">
        <v>9</v>
      </c>
      <c r="I54" s="4">
        <v>76</v>
      </c>
      <c r="J54" s="4">
        <f>VLOOKUP(H54,품목리스트!$B$5:$C$15,2,FALSE)</f>
        <v>175000</v>
      </c>
      <c r="K54" s="6">
        <f t="shared" si="2"/>
        <v>13300000</v>
      </c>
      <c r="L54" s="6">
        <f t="shared" si="3"/>
        <v>14630000</v>
      </c>
      <c r="M54" s="1" t="s">
        <v>38</v>
      </c>
      <c r="N54" s="1" t="s">
        <v>39</v>
      </c>
    </row>
    <row r="55" spans="1:14" ht="18" customHeight="1">
      <c r="A55" s="1">
        <v>49</v>
      </c>
      <c r="B55" s="1">
        <v>2023</v>
      </c>
      <c r="C55" s="1" t="s">
        <v>61</v>
      </c>
      <c r="D55" s="3">
        <v>45088</v>
      </c>
      <c r="E55" s="1" t="s">
        <v>56</v>
      </c>
      <c r="F55" s="1" t="s">
        <v>37</v>
      </c>
      <c r="G55" s="1" t="s">
        <v>93</v>
      </c>
      <c r="H55" s="1" t="s">
        <v>11</v>
      </c>
      <c r="I55" s="4">
        <v>5</v>
      </c>
      <c r="J55" s="4">
        <f>VLOOKUP(H55,품목리스트!$B$5:$C$15,2,FALSE)</f>
        <v>6000000</v>
      </c>
      <c r="K55" s="6">
        <f t="shared" si="2"/>
        <v>30000000</v>
      </c>
      <c r="L55" s="6">
        <f t="shared" si="3"/>
        <v>33000000</v>
      </c>
      <c r="M55" s="1" t="s">
        <v>38</v>
      </c>
      <c r="N55" s="1" t="s">
        <v>45</v>
      </c>
    </row>
    <row r="56" spans="1:14" ht="18" customHeight="1">
      <c r="A56" s="1">
        <v>50</v>
      </c>
      <c r="B56" s="1">
        <v>2023</v>
      </c>
      <c r="C56" s="1" t="s">
        <v>61</v>
      </c>
      <c r="D56" s="3">
        <v>45081</v>
      </c>
      <c r="E56" s="1" t="s">
        <v>62</v>
      </c>
      <c r="F56" s="1" t="s">
        <v>71</v>
      </c>
      <c r="G56" s="1" t="s">
        <v>6</v>
      </c>
      <c r="H56" s="1" t="s">
        <v>8</v>
      </c>
      <c r="I56" s="4">
        <v>1</v>
      </c>
      <c r="J56" s="4">
        <f>VLOOKUP(H56,품목리스트!$B$5:$C$15,2,FALSE)</f>
        <v>145000</v>
      </c>
      <c r="K56" s="6">
        <f t="shared" si="2"/>
        <v>145000</v>
      </c>
      <c r="L56" s="6">
        <f t="shared" si="3"/>
        <v>159500</v>
      </c>
      <c r="M56" s="1" t="s">
        <v>38</v>
      </c>
      <c r="N56" s="1" t="s">
        <v>39</v>
      </c>
    </row>
    <row r="57" spans="1:14" ht="18" customHeight="1">
      <c r="A57" s="1">
        <v>51</v>
      </c>
      <c r="B57" s="1">
        <v>2023</v>
      </c>
      <c r="C57" s="1" t="s">
        <v>61</v>
      </c>
      <c r="D57" s="3">
        <v>45096</v>
      </c>
      <c r="E57" s="1" t="s">
        <v>36</v>
      </c>
      <c r="F57" s="1" t="s">
        <v>77</v>
      </c>
      <c r="G57" s="1" t="s">
        <v>16</v>
      </c>
      <c r="H57" s="1" t="s">
        <v>18</v>
      </c>
      <c r="I57" s="4">
        <v>3</v>
      </c>
      <c r="J57" s="4">
        <f>VLOOKUP(H57,품목리스트!$B$5:$C$15,2,FALSE)</f>
        <v>240000</v>
      </c>
      <c r="K57" s="6">
        <f t="shared" si="2"/>
        <v>720000</v>
      </c>
      <c r="L57" s="6">
        <f t="shared" si="3"/>
        <v>792000</v>
      </c>
      <c r="M57" s="1" t="s">
        <v>38</v>
      </c>
      <c r="N57" s="1" t="s">
        <v>39</v>
      </c>
    </row>
    <row r="58" spans="1:14" ht="18" customHeight="1">
      <c r="A58" s="1">
        <v>52</v>
      </c>
      <c r="B58" s="1">
        <v>2023</v>
      </c>
      <c r="C58" s="1" t="s">
        <v>63</v>
      </c>
      <c r="D58" s="3">
        <v>45124</v>
      </c>
      <c r="E58" s="1" t="s">
        <v>56</v>
      </c>
      <c r="F58" s="1" t="s">
        <v>73</v>
      </c>
      <c r="G58" s="1" t="s">
        <v>93</v>
      </c>
      <c r="H58" s="1" t="s">
        <v>10</v>
      </c>
      <c r="I58" s="4">
        <v>55</v>
      </c>
      <c r="J58" s="4">
        <f>VLOOKUP(H58,품목리스트!$B$5:$C$15,2,FALSE)</f>
        <v>4500000</v>
      </c>
      <c r="K58" s="6">
        <f t="shared" si="2"/>
        <v>247500000</v>
      </c>
      <c r="L58" s="6">
        <f t="shared" si="3"/>
        <v>272250000</v>
      </c>
      <c r="M58" s="1" t="s">
        <v>38</v>
      </c>
      <c r="N58" s="1" t="s">
        <v>55</v>
      </c>
    </row>
    <row r="59" spans="1:14" ht="18" customHeight="1">
      <c r="A59" s="1">
        <v>53</v>
      </c>
      <c r="B59" s="1">
        <v>2023</v>
      </c>
      <c r="C59" s="1" t="s">
        <v>63</v>
      </c>
      <c r="D59" s="3">
        <v>45125</v>
      </c>
      <c r="E59" s="1" t="s">
        <v>62</v>
      </c>
      <c r="F59" s="1" t="s">
        <v>60</v>
      </c>
      <c r="G59" s="1" t="s">
        <v>6</v>
      </c>
      <c r="H59" s="1" t="s">
        <v>9</v>
      </c>
      <c r="I59" s="4">
        <v>4</v>
      </c>
      <c r="J59" s="4">
        <f>VLOOKUP(H59,품목리스트!$B$5:$C$15,2,FALSE)</f>
        <v>175000</v>
      </c>
      <c r="K59" s="6">
        <f t="shared" si="2"/>
        <v>700000</v>
      </c>
      <c r="L59" s="6">
        <f t="shared" si="3"/>
        <v>770000</v>
      </c>
      <c r="M59" s="1" t="s">
        <v>41</v>
      </c>
      <c r="N59" s="1" t="s">
        <v>39</v>
      </c>
    </row>
    <row r="60" spans="1:14" ht="18" customHeight="1">
      <c r="A60" s="1">
        <v>54</v>
      </c>
      <c r="B60" s="1">
        <v>2023</v>
      </c>
      <c r="C60" s="1" t="s">
        <v>65</v>
      </c>
      <c r="D60" s="3">
        <v>45153</v>
      </c>
      <c r="E60" s="1" t="s">
        <v>56</v>
      </c>
      <c r="F60" s="1" t="s">
        <v>76</v>
      </c>
      <c r="G60" s="1" t="s">
        <v>6</v>
      </c>
      <c r="H60" s="1" t="s">
        <v>8</v>
      </c>
      <c r="I60" s="4">
        <v>73</v>
      </c>
      <c r="J60" s="4">
        <f>VLOOKUP(H60,품목리스트!$B$5:$C$15,2,FALSE)</f>
        <v>145000</v>
      </c>
      <c r="K60" s="6">
        <f t="shared" si="2"/>
        <v>10585000</v>
      </c>
      <c r="L60" s="6">
        <f t="shared" si="3"/>
        <v>11643500</v>
      </c>
      <c r="M60" s="1" t="s">
        <v>41</v>
      </c>
      <c r="N60" s="1" t="s">
        <v>48</v>
      </c>
    </row>
    <row r="61" spans="1:14" ht="18" customHeight="1">
      <c r="A61" s="1">
        <v>55</v>
      </c>
      <c r="B61" s="1">
        <v>2023</v>
      </c>
      <c r="C61" s="1" t="s">
        <v>65</v>
      </c>
      <c r="D61" s="3">
        <v>45163</v>
      </c>
      <c r="E61" s="1" t="s">
        <v>67</v>
      </c>
      <c r="F61" s="1" t="s">
        <v>73</v>
      </c>
      <c r="G61" s="1" t="s">
        <v>12</v>
      </c>
      <c r="H61" s="1" t="s">
        <v>13</v>
      </c>
      <c r="I61" s="4">
        <v>5</v>
      </c>
      <c r="J61" s="4">
        <f>VLOOKUP(H61,품목리스트!$B$5:$C$15,2,FALSE)</f>
        <v>4200000</v>
      </c>
      <c r="K61" s="6">
        <f t="shared" si="2"/>
        <v>21000000</v>
      </c>
      <c r="L61" s="6">
        <f t="shared" si="3"/>
        <v>23100000</v>
      </c>
      <c r="M61" s="1" t="s">
        <v>38</v>
      </c>
      <c r="N61" s="1" t="s">
        <v>48</v>
      </c>
    </row>
    <row r="62" spans="1:14" ht="18" customHeight="1">
      <c r="A62" s="1">
        <v>56</v>
      </c>
      <c r="B62" s="1">
        <v>2023</v>
      </c>
      <c r="C62" s="1" t="s">
        <v>65</v>
      </c>
      <c r="D62" s="3">
        <v>45154</v>
      </c>
      <c r="E62" s="1" t="s">
        <v>51</v>
      </c>
      <c r="F62" s="1" t="s">
        <v>47</v>
      </c>
      <c r="G62" s="1" t="s">
        <v>93</v>
      </c>
      <c r="H62" s="1" t="s">
        <v>10</v>
      </c>
      <c r="I62" s="4">
        <v>1</v>
      </c>
      <c r="J62" s="4">
        <f>VLOOKUP(H62,품목리스트!$B$5:$C$15,2,FALSE)</f>
        <v>4500000</v>
      </c>
      <c r="K62" s="6">
        <f t="shared" si="2"/>
        <v>4500000</v>
      </c>
      <c r="L62" s="6">
        <f t="shared" si="3"/>
        <v>4950000</v>
      </c>
      <c r="M62" s="1" t="s">
        <v>41</v>
      </c>
      <c r="N62" s="1" t="s">
        <v>55</v>
      </c>
    </row>
    <row r="63" spans="1:14" ht="18" customHeight="1">
      <c r="A63" s="1">
        <v>57</v>
      </c>
      <c r="B63" s="1">
        <v>2023</v>
      </c>
      <c r="C63" s="1" t="s">
        <v>68</v>
      </c>
      <c r="D63" s="3">
        <v>45191</v>
      </c>
      <c r="E63" s="1" t="s">
        <v>43</v>
      </c>
      <c r="F63" s="1" t="s">
        <v>73</v>
      </c>
      <c r="G63" s="1" t="s">
        <v>12</v>
      </c>
      <c r="H63" s="1" t="s">
        <v>13</v>
      </c>
      <c r="I63" s="4">
        <v>71</v>
      </c>
      <c r="J63" s="4">
        <f>VLOOKUP(H63,품목리스트!$B$5:$C$15,2,FALSE)</f>
        <v>4200000</v>
      </c>
      <c r="K63" s="6">
        <f t="shared" si="2"/>
        <v>298200000</v>
      </c>
      <c r="L63" s="6">
        <f t="shared" si="3"/>
        <v>328020000</v>
      </c>
      <c r="M63" s="1" t="s">
        <v>38</v>
      </c>
      <c r="N63" s="1" t="s">
        <v>48</v>
      </c>
    </row>
    <row r="64" spans="1:14" ht="18" customHeight="1">
      <c r="A64" s="1">
        <v>58</v>
      </c>
      <c r="B64" s="1">
        <v>2023</v>
      </c>
      <c r="C64" s="1" t="s">
        <v>68</v>
      </c>
      <c r="D64" s="3">
        <v>45174</v>
      </c>
      <c r="E64" s="1" t="s">
        <v>36</v>
      </c>
      <c r="F64" s="1" t="s">
        <v>71</v>
      </c>
      <c r="G64" s="1" t="s">
        <v>93</v>
      </c>
      <c r="H64" s="1" t="s">
        <v>91</v>
      </c>
      <c r="I64" s="4">
        <v>6</v>
      </c>
      <c r="J64" s="4">
        <f>VLOOKUP(H64,품목리스트!$B$5:$C$15,2,FALSE)</f>
        <v>5200000</v>
      </c>
      <c r="K64" s="6">
        <f t="shared" si="2"/>
        <v>31200000</v>
      </c>
      <c r="L64" s="6">
        <f t="shared" si="3"/>
        <v>34320000</v>
      </c>
      <c r="M64" s="1" t="s">
        <v>38</v>
      </c>
      <c r="N64" s="1" t="s">
        <v>39</v>
      </c>
    </row>
    <row r="65" spans="1:14" ht="18" customHeight="1">
      <c r="A65" s="1">
        <v>59</v>
      </c>
      <c r="B65" s="1">
        <v>2023</v>
      </c>
      <c r="C65" s="1" t="s">
        <v>68</v>
      </c>
      <c r="D65" s="3">
        <v>45180</v>
      </c>
      <c r="E65" s="1" t="s">
        <v>59</v>
      </c>
      <c r="F65" s="1" t="s">
        <v>40</v>
      </c>
      <c r="G65" s="1" t="s">
        <v>16</v>
      </c>
      <c r="H65" s="1" t="s">
        <v>18</v>
      </c>
      <c r="I65" s="4">
        <v>4</v>
      </c>
      <c r="J65" s="4">
        <f>VLOOKUP(H65,품목리스트!$B$5:$C$15,2,FALSE)</f>
        <v>240000</v>
      </c>
      <c r="K65" s="6">
        <f t="shared" si="2"/>
        <v>960000</v>
      </c>
      <c r="L65" s="6">
        <f t="shared" si="3"/>
        <v>1056000</v>
      </c>
      <c r="M65" s="1" t="s">
        <v>41</v>
      </c>
      <c r="N65" s="1" t="s">
        <v>55</v>
      </c>
    </row>
    <row r="66" spans="1:14" ht="18" customHeight="1">
      <c r="A66" s="1">
        <v>60</v>
      </c>
      <c r="B66" s="1">
        <v>2023</v>
      </c>
      <c r="C66" s="1" t="s">
        <v>70</v>
      </c>
      <c r="D66" s="3">
        <v>45223</v>
      </c>
      <c r="E66" s="1" t="s">
        <v>64</v>
      </c>
      <c r="F66" s="1" t="s">
        <v>76</v>
      </c>
      <c r="G66" s="1" t="s">
        <v>16</v>
      </c>
      <c r="H66" s="1" t="s">
        <v>17</v>
      </c>
      <c r="I66" s="4">
        <v>64</v>
      </c>
      <c r="J66" s="4">
        <f>VLOOKUP(H66,품목리스트!$B$5:$C$15,2,FALSE)</f>
        <v>180000</v>
      </c>
      <c r="K66" s="6">
        <f t="shared" si="2"/>
        <v>11520000</v>
      </c>
      <c r="L66" s="6">
        <f t="shared" si="3"/>
        <v>12672000</v>
      </c>
      <c r="M66" s="1" t="s">
        <v>41</v>
      </c>
      <c r="N66" s="1" t="s">
        <v>39</v>
      </c>
    </row>
    <row r="67" spans="1:14" ht="18" customHeight="1">
      <c r="A67" s="1">
        <v>61</v>
      </c>
      <c r="B67" s="1">
        <v>2023</v>
      </c>
      <c r="C67" s="1" t="s">
        <v>70</v>
      </c>
      <c r="D67" s="3">
        <v>45218</v>
      </c>
      <c r="E67" s="1" t="s">
        <v>64</v>
      </c>
      <c r="F67" s="1" t="s">
        <v>75</v>
      </c>
      <c r="G67" s="1" t="s">
        <v>93</v>
      </c>
      <c r="H67" s="1" t="s">
        <v>10</v>
      </c>
      <c r="I67" s="4">
        <v>4</v>
      </c>
      <c r="J67" s="4">
        <f>VLOOKUP(H67,품목리스트!$B$5:$C$15,2,FALSE)</f>
        <v>4500000</v>
      </c>
      <c r="K67" s="6">
        <f t="shared" si="2"/>
        <v>18000000</v>
      </c>
      <c r="L67" s="6">
        <f t="shared" si="3"/>
        <v>19800000</v>
      </c>
      <c r="M67" s="1" t="s">
        <v>41</v>
      </c>
      <c r="N67" s="1" t="s">
        <v>45</v>
      </c>
    </row>
    <row r="68" spans="1:14" ht="18" customHeight="1">
      <c r="A68" s="1">
        <v>62</v>
      </c>
      <c r="B68" s="1">
        <v>2023</v>
      </c>
      <c r="C68" s="1" t="s">
        <v>70</v>
      </c>
      <c r="D68" s="3">
        <v>45210</v>
      </c>
      <c r="E68" s="1" t="s">
        <v>67</v>
      </c>
      <c r="F68" s="1" t="s">
        <v>69</v>
      </c>
      <c r="G68" s="1" t="s">
        <v>6</v>
      </c>
      <c r="H68" s="1" t="s">
        <v>7</v>
      </c>
      <c r="I68" s="4">
        <v>1</v>
      </c>
      <c r="J68" s="4">
        <f>VLOOKUP(H68,품목리스트!$B$5:$C$15,2,FALSE)</f>
        <v>130000</v>
      </c>
      <c r="K68" s="6">
        <f t="shared" si="2"/>
        <v>130000</v>
      </c>
      <c r="L68" s="6">
        <f t="shared" si="3"/>
        <v>143000</v>
      </c>
      <c r="M68" s="1" t="s">
        <v>41</v>
      </c>
      <c r="N68" s="1" t="s">
        <v>45</v>
      </c>
    </row>
    <row r="69" spans="1:14" ht="18" customHeight="1">
      <c r="A69" s="1">
        <v>63</v>
      </c>
      <c r="B69" s="1">
        <v>2023</v>
      </c>
      <c r="C69" s="1" t="s">
        <v>72</v>
      </c>
      <c r="D69" s="3">
        <v>45247</v>
      </c>
      <c r="E69" s="1" t="s">
        <v>59</v>
      </c>
      <c r="F69" s="1" t="s">
        <v>47</v>
      </c>
      <c r="G69" s="1" t="s">
        <v>12</v>
      </c>
      <c r="H69" s="1" t="s">
        <v>14</v>
      </c>
      <c r="I69" s="4">
        <v>69</v>
      </c>
      <c r="J69" s="4">
        <f>VLOOKUP(H69,품목리스트!$B$5:$C$15,2,FALSE)</f>
        <v>4800000</v>
      </c>
      <c r="K69" s="6">
        <f t="shared" si="2"/>
        <v>331200000</v>
      </c>
      <c r="L69" s="6">
        <f t="shared" si="3"/>
        <v>364320000</v>
      </c>
      <c r="M69" s="1" t="s">
        <v>41</v>
      </c>
      <c r="N69" s="1" t="s">
        <v>45</v>
      </c>
    </row>
    <row r="70" spans="1:14" ht="18" customHeight="1">
      <c r="A70" s="1">
        <v>64</v>
      </c>
      <c r="B70" s="1">
        <v>2023</v>
      </c>
      <c r="C70" s="1" t="s">
        <v>72</v>
      </c>
      <c r="D70" s="3">
        <v>45243</v>
      </c>
      <c r="E70" s="1" t="s">
        <v>59</v>
      </c>
      <c r="F70" s="1" t="s">
        <v>76</v>
      </c>
      <c r="G70" s="1" t="s">
        <v>12</v>
      </c>
      <c r="H70" s="1" t="s">
        <v>14</v>
      </c>
      <c r="I70" s="4">
        <v>4</v>
      </c>
      <c r="J70" s="4">
        <f>VLOOKUP(H70,품목리스트!$B$5:$C$15,2,FALSE)</f>
        <v>4800000</v>
      </c>
      <c r="K70" s="6">
        <f t="shared" si="2"/>
        <v>19200000</v>
      </c>
      <c r="L70" s="6">
        <f t="shared" si="3"/>
        <v>21120000</v>
      </c>
      <c r="M70" s="1" t="s">
        <v>41</v>
      </c>
      <c r="N70" s="1" t="s">
        <v>45</v>
      </c>
    </row>
    <row r="71" spans="1:14" ht="18" customHeight="1">
      <c r="A71" s="1">
        <v>65</v>
      </c>
      <c r="B71" s="1">
        <v>2023</v>
      </c>
      <c r="C71" s="1" t="s">
        <v>74</v>
      </c>
      <c r="D71" s="3">
        <v>45284</v>
      </c>
      <c r="E71" s="1" t="s">
        <v>43</v>
      </c>
      <c r="F71" s="1" t="s">
        <v>60</v>
      </c>
      <c r="G71" s="1" t="s">
        <v>93</v>
      </c>
      <c r="H71" s="1" t="s">
        <v>10</v>
      </c>
      <c r="I71" s="4">
        <v>63</v>
      </c>
      <c r="J71" s="4">
        <f>VLOOKUP(H71,품목리스트!$B$5:$C$15,2,FALSE)</f>
        <v>4500000</v>
      </c>
      <c r="K71" s="6">
        <f t="shared" ref="K71:K102" si="4">ROUND(I71*J71,0)</f>
        <v>283500000</v>
      </c>
      <c r="L71" s="6">
        <f t="shared" ref="L71:L102" si="5">ROUND(K71*(1+$B$5),0)</f>
        <v>311850000</v>
      </c>
      <c r="M71" s="1" t="s">
        <v>41</v>
      </c>
      <c r="N71" s="1" t="s">
        <v>45</v>
      </c>
    </row>
    <row r="72" spans="1:14" ht="18" customHeight="1">
      <c r="A72" s="1">
        <v>66</v>
      </c>
      <c r="B72" s="1">
        <v>2023</v>
      </c>
      <c r="C72" s="1" t="s">
        <v>74</v>
      </c>
      <c r="D72" s="3">
        <v>45277</v>
      </c>
      <c r="E72" s="1" t="s">
        <v>62</v>
      </c>
      <c r="F72" s="1" t="s">
        <v>37</v>
      </c>
      <c r="G72" s="1" t="s">
        <v>12</v>
      </c>
      <c r="H72" s="1" t="s">
        <v>15</v>
      </c>
      <c r="I72" s="4">
        <v>4</v>
      </c>
      <c r="J72" s="4">
        <f>VLOOKUP(H72,품목리스트!$B$5:$C$15,2,FALSE)</f>
        <v>60000</v>
      </c>
      <c r="K72" s="6">
        <f t="shared" si="4"/>
        <v>240000</v>
      </c>
      <c r="L72" s="6">
        <f t="shared" si="5"/>
        <v>264000</v>
      </c>
      <c r="M72" s="1" t="s">
        <v>38</v>
      </c>
      <c r="N72" s="1" t="s">
        <v>48</v>
      </c>
    </row>
    <row r="73" spans="1:14" ht="18" customHeight="1">
      <c r="A73" s="1">
        <v>67</v>
      </c>
      <c r="B73" s="1">
        <v>2023</v>
      </c>
      <c r="C73" s="1" t="s">
        <v>74</v>
      </c>
      <c r="D73" s="3">
        <v>45282</v>
      </c>
      <c r="E73" s="1" t="s">
        <v>67</v>
      </c>
      <c r="F73" s="1" t="s">
        <v>40</v>
      </c>
      <c r="G73" s="1" t="s">
        <v>6</v>
      </c>
      <c r="H73" s="1" t="s">
        <v>8</v>
      </c>
      <c r="I73" s="4">
        <v>1</v>
      </c>
      <c r="J73" s="4">
        <f>VLOOKUP(H73,품목리스트!$B$5:$C$15,2,FALSE)</f>
        <v>145000</v>
      </c>
      <c r="K73" s="6">
        <f t="shared" si="4"/>
        <v>145000</v>
      </c>
      <c r="L73" s="6">
        <f t="shared" si="5"/>
        <v>159500</v>
      </c>
      <c r="M73" s="1" t="s">
        <v>41</v>
      </c>
      <c r="N73" s="1" t="s">
        <v>48</v>
      </c>
    </row>
    <row r="74" spans="1:14" ht="18" customHeight="1">
      <c r="A74" s="1">
        <v>68</v>
      </c>
      <c r="B74" s="1">
        <v>2023</v>
      </c>
      <c r="C74" s="1" t="s">
        <v>74</v>
      </c>
      <c r="D74" s="3">
        <v>45278</v>
      </c>
      <c r="E74" s="1" t="s">
        <v>51</v>
      </c>
      <c r="F74" s="1" t="s">
        <v>52</v>
      </c>
      <c r="G74" s="1" t="s">
        <v>6</v>
      </c>
      <c r="H74" s="1" t="s">
        <v>8</v>
      </c>
      <c r="I74" s="4">
        <v>3</v>
      </c>
      <c r="J74" s="4">
        <f>VLOOKUP(H74,품목리스트!$B$5:$C$15,2,FALSE)</f>
        <v>145000</v>
      </c>
      <c r="K74" s="6">
        <f t="shared" si="4"/>
        <v>435000</v>
      </c>
      <c r="L74" s="6">
        <f t="shared" si="5"/>
        <v>478500</v>
      </c>
      <c r="M74" s="1" t="s">
        <v>41</v>
      </c>
      <c r="N74" s="1" t="s">
        <v>55</v>
      </c>
    </row>
    <row r="75" spans="1:14" ht="18" customHeight="1">
      <c r="A75" s="1">
        <v>69</v>
      </c>
      <c r="B75" s="1">
        <v>2024</v>
      </c>
      <c r="C75" s="1" t="s">
        <v>35</v>
      </c>
      <c r="D75" s="3">
        <v>45301</v>
      </c>
      <c r="E75" s="1" t="s">
        <v>64</v>
      </c>
      <c r="F75" s="1" t="s">
        <v>57</v>
      </c>
      <c r="G75" s="1" t="s">
        <v>6</v>
      </c>
      <c r="H75" s="1" t="s">
        <v>9</v>
      </c>
      <c r="I75" s="4">
        <v>78</v>
      </c>
      <c r="J75" s="4">
        <f>VLOOKUP(H75,품목리스트!$B$5:$C$15,2,FALSE)</f>
        <v>175000</v>
      </c>
      <c r="K75" s="6">
        <f t="shared" si="4"/>
        <v>13650000</v>
      </c>
      <c r="L75" s="6">
        <f t="shared" si="5"/>
        <v>15015000</v>
      </c>
      <c r="M75" s="1" t="s">
        <v>38</v>
      </c>
      <c r="N75" s="1" t="s">
        <v>39</v>
      </c>
    </row>
    <row r="76" spans="1:14" ht="18" customHeight="1">
      <c r="A76" s="1">
        <v>70</v>
      </c>
      <c r="B76" s="1">
        <v>2024</v>
      </c>
      <c r="C76" s="1" t="s">
        <v>35</v>
      </c>
      <c r="D76" s="3">
        <v>45317</v>
      </c>
      <c r="E76" s="1" t="s">
        <v>51</v>
      </c>
      <c r="F76" s="1" t="s">
        <v>49</v>
      </c>
      <c r="G76" s="1" t="s">
        <v>12</v>
      </c>
      <c r="H76" s="1" t="s">
        <v>15</v>
      </c>
      <c r="I76" s="4">
        <v>4</v>
      </c>
      <c r="J76" s="4">
        <f>VLOOKUP(H76,품목리스트!$B$5:$C$15,2,FALSE)</f>
        <v>60000</v>
      </c>
      <c r="K76" s="6">
        <f t="shared" si="4"/>
        <v>240000</v>
      </c>
      <c r="L76" s="6">
        <f t="shared" si="5"/>
        <v>264000</v>
      </c>
      <c r="M76" s="1" t="s">
        <v>41</v>
      </c>
      <c r="N76" s="1" t="s">
        <v>39</v>
      </c>
    </row>
    <row r="77" spans="1:14" ht="18" customHeight="1">
      <c r="A77" s="1">
        <v>71</v>
      </c>
      <c r="B77" s="1">
        <v>2024</v>
      </c>
      <c r="C77" s="1" t="s">
        <v>42</v>
      </c>
      <c r="D77" s="3">
        <v>45340</v>
      </c>
      <c r="E77" s="1" t="s">
        <v>56</v>
      </c>
      <c r="F77" s="1" t="s">
        <v>73</v>
      </c>
      <c r="G77" s="1" t="s">
        <v>12</v>
      </c>
      <c r="H77" s="1" t="s">
        <v>15</v>
      </c>
      <c r="I77" s="4">
        <v>77</v>
      </c>
      <c r="J77" s="4">
        <f>VLOOKUP(H77,품목리스트!$B$5:$C$15,2,FALSE)</f>
        <v>60000</v>
      </c>
      <c r="K77" s="6">
        <f t="shared" si="4"/>
        <v>4620000</v>
      </c>
      <c r="L77" s="6">
        <f t="shared" si="5"/>
        <v>5082000</v>
      </c>
      <c r="M77" s="1" t="s">
        <v>38</v>
      </c>
      <c r="N77" s="1" t="s">
        <v>55</v>
      </c>
    </row>
    <row r="78" spans="1:14" ht="18" customHeight="1">
      <c r="A78" s="1">
        <v>72</v>
      </c>
      <c r="B78" s="1">
        <v>2024</v>
      </c>
      <c r="C78" s="1" t="s">
        <v>42</v>
      </c>
      <c r="D78" s="3">
        <v>45332</v>
      </c>
      <c r="E78" s="1" t="s">
        <v>56</v>
      </c>
      <c r="F78" s="1" t="s">
        <v>37</v>
      </c>
      <c r="G78" s="1" t="s">
        <v>12</v>
      </c>
      <c r="H78" s="1" t="s">
        <v>15</v>
      </c>
      <c r="I78" s="4">
        <v>4</v>
      </c>
      <c r="J78" s="4">
        <f>VLOOKUP(H78,품목리스트!$B$5:$C$15,2,FALSE)</f>
        <v>60000</v>
      </c>
      <c r="K78" s="6">
        <f t="shared" si="4"/>
        <v>240000</v>
      </c>
      <c r="L78" s="6">
        <f t="shared" si="5"/>
        <v>264000</v>
      </c>
      <c r="M78" s="1" t="s">
        <v>38</v>
      </c>
      <c r="N78" s="1" t="s">
        <v>48</v>
      </c>
    </row>
    <row r="79" spans="1:14" ht="18" customHeight="1">
      <c r="A79" s="1">
        <v>73</v>
      </c>
      <c r="B79" s="1">
        <v>2024</v>
      </c>
      <c r="C79" s="1" t="s">
        <v>42</v>
      </c>
      <c r="D79" s="3">
        <v>45338</v>
      </c>
      <c r="E79" s="1" t="s">
        <v>51</v>
      </c>
      <c r="F79" s="1" t="s">
        <v>44</v>
      </c>
      <c r="G79" s="1" t="s">
        <v>6</v>
      </c>
      <c r="H79" s="1" t="s">
        <v>7</v>
      </c>
      <c r="I79" s="4">
        <v>1</v>
      </c>
      <c r="J79" s="4">
        <f>VLOOKUP(H79,품목리스트!$B$5:$C$15,2,FALSE)</f>
        <v>130000</v>
      </c>
      <c r="K79" s="6">
        <f t="shared" si="4"/>
        <v>130000</v>
      </c>
      <c r="L79" s="6">
        <f t="shared" si="5"/>
        <v>143000</v>
      </c>
      <c r="M79" s="1" t="s">
        <v>41</v>
      </c>
      <c r="N79" s="1" t="s">
        <v>55</v>
      </c>
    </row>
    <row r="80" spans="1:14" ht="18" customHeight="1">
      <c r="A80" s="1">
        <v>74</v>
      </c>
      <c r="B80" s="1">
        <v>2024</v>
      </c>
      <c r="C80" s="1" t="s">
        <v>50</v>
      </c>
      <c r="D80" s="3">
        <v>45358</v>
      </c>
      <c r="E80" s="1" t="s">
        <v>67</v>
      </c>
      <c r="F80" s="1" t="s">
        <v>47</v>
      </c>
      <c r="G80" s="1" t="s">
        <v>6</v>
      </c>
      <c r="H80" s="1" t="s">
        <v>7</v>
      </c>
      <c r="I80" s="4">
        <v>82</v>
      </c>
      <c r="J80" s="4">
        <f>VLOOKUP(H80,품목리스트!$B$5:$C$15,2,FALSE)</f>
        <v>130000</v>
      </c>
      <c r="K80" s="6">
        <f t="shared" si="4"/>
        <v>10660000</v>
      </c>
      <c r="L80" s="6">
        <f t="shared" si="5"/>
        <v>11726000</v>
      </c>
      <c r="M80" s="1" t="s">
        <v>41</v>
      </c>
      <c r="N80" s="1" t="s">
        <v>45</v>
      </c>
    </row>
    <row r="81" spans="1:14" ht="18" customHeight="1">
      <c r="A81" s="1">
        <v>75</v>
      </c>
      <c r="B81" s="1">
        <v>2024</v>
      </c>
      <c r="C81" s="1" t="s">
        <v>50</v>
      </c>
      <c r="D81" s="3">
        <v>45363</v>
      </c>
      <c r="E81" s="1" t="s">
        <v>51</v>
      </c>
      <c r="F81" s="1" t="s">
        <v>69</v>
      </c>
      <c r="G81" s="1" t="s">
        <v>12</v>
      </c>
      <c r="H81" s="1" t="s">
        <v>13</v>
      </c>
      <c r="I81" s="4">
        <v>4</v>
      </c>
      <c r="J81" s="4">
        <f>VLOOKUP(H81,품목리스트!$B$5:$C$15,2,FALSE)</f>
        <v>4200000</v>
      </c>
      <c r="K81" s="6">
        <f t="shared" si="4"/>
        <v>16800000</v>
      </c>
      <c r="L81" s="6">
        <f t="shared" si="5"/>
        <v>18480000</v>
      </c>
      <c r="M81" s="1" t="s">
        <v>41</v>
      </c>
      <c r="N81" s="1" t="s">
        <v>55</v>
      </c>
    </row>
    <row r="82" spans="1:14" ht="18" customHeight="1">
      <c r="A82" s="1">
        <v>76</v>
      </c>
      <c r="B82" s="1">
        <v>2024</v>
      </c>
      <c r="C82" s="1" t="s">
        <v>50</v>
      </c>
      <c r="D82" s="3">
        <v>45370</v>
      </c>
      <c r="E82" s="1" t="s">
        <v>43</v>
      </c>
      <c r="F82" s="1" t="s">
        <v>71</v>
      </c>
      <c r="G82" s="1" t="s">
        <v>93</v>
      </c>
      <c r="H82" s="1" t="s">
        <v>11</v>
      </c>
      <c r="I82" s="4">
        <v>3</v>
      </c>
      <c r="J82" s="4">
        <f>VLOOKUP(H82,품목리스트!$B$5:$C$15,2,FALSE)</f>
        <v>6000000</v>
      </c>
      <c r="K82" s="6">
        <f t="shared" si="4"/>
        <v>18000000</v>
      </c>
      <c r="L82" s="6">
        <f t="shared" si="5"/>
        <v>19800000</v>
      </c>
      <c r="M82" s="1" t="s">
        <v>38</v>
      </c>
      <c r="N82" s="1" t="s">
        <v>39</v>
      </c>
    </row>
    <row r="83" spans="1:14" ht="18" customHeight="1">
      <c r="A83" s="1">
        <v>77</v>
      </c>
      <c r="B83" s="1">
        <v>2024</v>
      </c>
      <c r="C83" s="1" t="s">
        <v>53</v>
      </c>
      <c r="D83" s="3">
        <v>45394</v>
      </c>
      <c r="E83" s="1" t="s">
        <v>56</v>
      </c>
      <c r="F83" s="1" t="s">
        <v>52</v>
      </c>
      <c r="G83" s="1" t="s">
        <v>6</v>
      </c>
      <c r="H83" s="1" t="s">
        <v>8</v>
      </c>
      <c r="I83" s="4">
        <v>79</v>
      </c>
      <c r="J83" s="4">
        <f>VLOOKUP(H83,품목리스트!$B$5:$C$15,2,FALSE)</f>
        <v>145000</v>
      </c>
      <c r="K83" s="6">
        <f t="shared" si="4"/>
        <v>11455000</v>
      </c>
      <c r="L83" s="6">
        <f t="shared" si="5"/>
        <v>12600500</v>
      </c>
      <c r="M83" s="1" t="s">
        <v>41</v>
      </c>
      <c r="N83" s="1" t="s">
        <v>48</v>
      </c>
    </row>
    <row r="84" spans="1:14" ht="18" customHeight="1">
      <c r="A84" s="1">
        <v>78</v>
      </c>
      <c r="B84" s="1">
        <v>2024</v>
      </c>
      <c r="C84" s="1" t="s">
        <v>53</v>
      </c>
      <c r="D84" s="3">
        <v>45405</v>
      </c>
      <c r="E84" s="1" t="s">
        <v>36</v>
      </c>
      <c r="F84" s="1" t="s">
        <v>76</v>
      </c>
      <c r="G84" s="1" t="s">
        <v>93</v>
      </c>
      <c r="H84" s="1" t="s">
        <v>91</v>
      </c>
      <c r="I84" s="4">
        <v>4</v>
      </c>
      <c r="J84" s="4">
        <f>VLOOKUP(H84,품목리스트!$B$5:$C$15,2,FALSE)</f>
        <v>5200000</v>
      </c>
      <c r="K84" s="6">
        <f t="shared" si="4"/>
        <v>20800000</v>
      </c>
      <c r="L84" s="6">
        <f t="shared" si="5"/>
        <v>22880000</v>
      </c>
      <c r="M84" s="1" t="s">
        <v>41</v>
      </c>
      <c r="N84" s="1" t="s">
        <v>55</v>
      </c>
    </row>
    <row r="85" spans="1:14" ht="18" customHeight="1">
      <c r="A85" s="1">
        <v>79</v>
      </c>
      <c r="B85" s="1">
        <v>2024</v>
      </c>
      <c r="C85" s="1" t="s">
        <v>53</v>
      </c>
      <c r="D85" s="3">
        <v>45398</v>
      </c>
      <c r="E85" s="1" t="s">
        <v>36</v>
      </c>
      <c r="F85" s="1" t="s">
        <v>52</v>
      </c>
      <c r="G85" s="1" t="s">
        <v>16</v>
      </c>
      <c r="H85" s="1" t="s">
        <v>18</v>
      </c>
      <c r="I85" s="4">
        <v>1</v>
      </c>
      <c r="J85" s="4">
        <f>VLOOKUP(H85,품목리스트!$B$5:$C$15,2,FALSE)</f>
        <v>240000</v>
      </c>
      <c r="K85" s="6">
        <f t="shared" si="4"/>
        <v>240000</v>
      </c>
      <c r="L85" s="6">
        <f t="shared" si="5"/>
        <v>264000</v>
      </c>
      <c r="M85" s="1" t="s">
        <v>41</v>
      </c>
      <c r="N85" s="1" t="s">
        <v>48</v>
      </c>
    </row>
    <row r="86" spans="1:14" ht="18" customHeight="1">
      <c r="A86" s="1">
        <v>80</v>
      </c>
      <c r="B86" s="1">
        <v>2024</v>
      </c>
      <c r="C86" s="1" t="s">
        <v>58</v>
      </c>
      <c r="D86" s="3">
        <v>45418</v>
      </c>
      <c r="E86" s="1" t="s">
        <v>56</v>
      </c>
      <c r="F86" s="1" t="s">
        <v>76</v>
      </c>
      <c r="G86" s="1" t="s">
        <v>12</v>
      </c>
      <c r="H86" s="1" t="s">
        <v>14</v>
      </c>
      <c r="I86" s="4">
        <v>86</v>
      </c>
      <c r="J86" s="4">
        <f>VLOOKUP(H86,품목리스트!$B$5:$C$15,2,FALSE)</f>
        <v>4800000</v>
      </c>
      <c r="K86" s="6">
        <f t="shared" si="4"/>
        <v>412800000</v>
      </c>
      <c r="L86" s="6">
        <f t="shared" si="5"/>
        <v>454080000</v>
      </c>
      <c r="M86" s="1" t="s">
        <v>41</v>
      </c>
      <c r="N86" s="1" t="s">
        <v>39</v>
      </c>
    </row>
    <row r="87" spans="1:14" ht="18" customHeight="1">
      <c r="A87" s="1">
        <v>81</v>
      </c>
      <c r="B87" s="1">
        <v>2024</v>
      </c>
      <c r="C87" s="1" t="s">
        <v>58</v>
      </c>
      <c r="D87" s="3">
        <v>45435</v>
      </c>
      <c r="E87" s="1" t="s">
        <v>43</v>
      </c>
      <c r="F87" s="1" t="s">
        <v>47</v>
      </c>
      <c r="G87" s="1" t="s">
        <v>12</v>
      </c>
      <c r="H87" s="1" t="s">
        <v>15</v>
      </c>
      <c r="I87" s="4">
        <v>3</v>
      </c>
      <c r="J87" s="4">
        <f>VLOOKUP(H87,품목리스트!$B$5:$C$15,2,FALSE)</f>
        <v>60000</v>
      </c>
      <c r="K87" s="6">
        <f t="shared" si="4"/>
        <v>180000</v>
      </c>
      <c r="L87" s="6">
        <f t="shared" si="5"/>
        <v>198000</v>
      </c>
      <c r="M87" s="1" t="s">
        <v>41</v>
      </c>
      <c r="N87" s="1" t="s">
        <v>39</v>
      </c>
    </row>
    <row r="88" spans="1:14" ht="18" customHeight="1">
      <c r="A88" s="1">
        <v>82</v>
      </c>
      <c r="B88" s="1">
        <v>2024</v>
      </c>
      <c r="C88" s="1" t="s">
        <v>61</v>
      </c>
      <c r="D88" s="3">
        <v>45446</v>
      </c>
      <c r="E88" s="1" t="s">
        <v>67</v>
      </c>
      <c r="F88" s="1" t="s">
        <v>76</v>
      </c>
      <c r="G88" s="1" t="s">
        <v>6</v>
      </c>
      <c r="H88" s="1" t="s">
        <v>7</v>
      </c>
      <c r="I88" s="4">
        <v>84</v>
      </c>
      <c r="J88" s="4">
        <f>VLOOKUP(H88,품목리스트!$B$5:$C$15,2,FALSE)</f>
        <v>130000</v>
      </c>
      <c r="K88" s="6">
        <f t="shared" si="4"/>
        <v>10920000</v>
      </c>
      <c r="L88" s="6">
        <f t="shared" si="5"/>
        <v>12012000</v>
      </c>
      <c r="M88" s="1" t="s">
        <v>41</v>
      </c>
      <c r="N88" s="1" t="s">
        <v>45</v>
      </c>
    </row>
    <row r="89" spans="1:14" ht="18" customHeight="1">
      <c r="A89" s="1">
        <v>83</v>
      </c>
      <c r="B89" s="1">
        <v>2024</v>
      </c>
      <c r="C89" s="1" t="s">
        <v>61</v>
      </c>
      <c r="D89" s="3">
        <v>45450</v>
      </c>
      <c r="E89" s="1" t="s">
        <v>43</v>
      </c>
      <c r="F89" s="1" t="s">
        <v>49</v>
      </c>
      <c r="G89" s="1" t="s">
        <v>93</v>
      </c>
      <c r="H89" s="1" t="s">
        <v>10</v>
      </c>
      <c r="I89" s="4">
        <v>3</v>
      </c>
      <c r="J89" s="4">
        <f>VLOOKUP(H89,품목리스트!$B$5:$C$15,2,FALSE)</f>
        <v>4500000</v>
      </c>
      <c r="K89" s="6">
        <f t="shared" si="4"/>
        <v>13500000</v>
      </c>
      <c r="L89" s="6">
        <f t="shared" si="5"/>
        <v>14850000</v>
      </c>
      <c r="M89" s="1" t="s">
        <v>41</v>
      </c>
      <c r="N89" s="1" t="s">
        <v>39</v>
      </c>
    </row>
    <row r="90" spans="1:14" ht="18" customHeight="1">
      <c r="A90" s="1">
        <v>84</v>
      </c>
      <c r="B90" s="1">
        <v>2024</v>
      </c>
      <c r="C90" s="1" t="s">
        <v>61</v>
      </c>
      <c r="D90" s="3">
        <v>45455</v>
      </c>
      <c r="E90" s="1" t="s">
        <v>67</v>
      </c>
      <c r="F90" s="1" t="s">
        <v>54</v>
      </c>
      <c r="G90" s="1" t="s">
        <v>6</v>
      </c>
      <c r="H90" s="1" t="s">
        <v>7</v>
      </c>
      <c r="I90" s="4">
        <v>1</v>
      </c>
      <c r="J90" s="4">
        <f>VLOOKUP(H90,품목리스트!$B$5:$C$15,2,FALSE)</f>
        <v>130000</v>
      </c>
      <c r="K90" s="6">
        <f t="shared" si="4"/>
        <v>130000</v>
      </c>
      <c r="L90" s="6">
        <f t="shared" si="5"/>
        <v>143000</v>
      </c>
      <c r="M90" s="1" t="s">
        <v>38</v>
      </c>
      <c r="N90" s="1" t="s">
        <v>39</v>
      </c>
    </row>
    <row r="91" spans="1:14" ht="18" customHeight="1">
      <c r="A91" s="1">
        <v>85</v>
      </c>
      <c r="B91" s="1">
        <v>2024</v>
      </c>
      <c r="C91" s="1" t="s">
        <v>61</v>
      </c>
      <c r="D91" s="3">
        <v>45469</v>
      </c>
      <c r="E91" s="1" t="s">
        <v>46</v>
      </c>
      <c r="F91" s="1" t="s">
        <v>69</v>
      </c>
      <c r="G91" s="1" t="s">
        <v>93</v>
      </c>
      <c r="H91" s="1" t="s">
        <v>11</v>
      </c>
      <c r="I91" s="4">
        <v>3</v>
      </c>
      <c r="J91" s="4">
        <f>VLOOKUP(H91,품목리스트!$B$5:$C$15,2,FALSE)</f>
        <v>6000000</v>
      </c>
      <c r="K91" s="6">
        <f t="shared" si="4"/>
        <v>18000000</v>
      </c>
      <c r="L91" s="6">
        <f t="shared" si="5"/>
        <v>19800000</v>
      </c>
      <c r="M91" s="1" t="s">
        <v>41</v>
      </c>
      <c r="N91" s="1" t="s">
        <v>55</v>
      </c>
    </row>
    <row r="92" spans="1:14" ht="18" customHeight="1">
      <c r="A92" s="1">
        <v>86</v>
      </c>
      <c r="B92" s="1">
        <v>2024</v>
      </c>
      <c r="C92" s="1" t="s">
        <v>63</v>
      </c>
      <c r="D92" s="3">
        <v>45496</v>
      </c>
      <c r="E92" s="1" t="s">
        <v>36</v>
      </c>
      <c r="F92" s="1" t="s">
        <v>57</v>
      </c>
      <c r="G92" s="1" t="s">
        <v>6</v>
      </c>
      <c r="H92" s="1" t="s">
        <v>8</v>
      </c>
      <c r="I92" s="4">
        <v>72</v>
      </c>
      <c r="J92" s="4">
        <f>VLOOKUP(H92,품목리스트!$B$5:$C$15,2,FALSE)</f>
        <v>145000</v>
      </c>
      <c r="K92" s="6">
        <f t="shared" si="4"/>
        <v>10440000</v>
      </c>
      <c r="L92" s="6">
        <f t="shared" si="5"/>
        <v>11484000</v>
      </c>
      <c r="M92" s="1" t="s">
        <v>38</v>
      </c>
      <c r="N92" s="1" t="s">
        <v>55</v>
      </c>
    </row>
    <row r="93" spans="1:14" ht="18" customHeight="1">
      <c r="A93" s="1">
        <v>87</v>
      </c>
      <c r="B93" s="1">
        <v>2024</v>
      </c>
      <c r="C93" s="1" t="s">
        <v>63</v>
      </c>
      <c r="D93" s="3">
        <v>45490</v>
      </c>
      <c r="E93" s="1" t="s">
        <v>59</v>
      </c>
      <c r="F93" s="1" t="s">
        <v>40</v>
      </c>
      <c r="G93" s="1" t="s">
        <v>93</v>
      </c>
      <c r="H93" s="1" t="s">
        <v>11</v>
      </c>
      <c r="I93" s="4">
        <v>3</v>
      </c>
      <c r="J93" s="4">
        <f>VLOOKUP(H93,품목리스트!$B$5:$C$15,2,FALSE)</f>
        <v>6000000</v>
      </c>
      <c r="K93" s="6">
        <f t="shared" si="4"/>
        <v>18000000</v>
      </c>
      <c r="L93" s="6">
        <f t="shared" si="5"/>
        <v>19800000</v>
      </c>
      <c r="M93" s="1" t="s">
        <v>41</v>
      </c>
      <c r="N93" s="1" t="s">
        <v>55</v>
      </c>
    </row>
    <row r="94" spans="1:14" ht="18" customHeight="1">
      <c r="A94" s="1">
        <v>88</v>
      </c>
      <c r="B94" s="1">
        <v>2024</v>
      </c>
      <c r="C94" s="1" t="s">
        <v>65</v>
      </c>
      <c r="D94" s="3">
        <v>45519</v>
      </c>
      <c r="E94" s="1" t="s">
        <v>59</v>
      </c>
      <c r="F94" s="1" t="s">
        <v>40</v>
      </c>
      <c r="G94" s="1" t="s">
        <v>93</v>
      </c>
      <c r="H94" s="1" t="s">
        <v>10</v>
      </c>
      <c r="I94" s="4">
        <v>67</v>
      </c>
      <c r="J94" s="4">
        <f>VLOOKUP(H94,품목리스트!$B$5:$C$15,2,FALSE)</f>
        <v>4500000</v>
      </c>
      <c r="K94" s="6">
        <f t="shared" si="4"/>
        <v>301500000</v>
      </c>
      <c r="L94" s="6">
        <f t="shared" si="5"/>
        <v>331650000</v>
      </c>
      <c r="M94" s="1" t="s">
        <v>41</v>
      </c>
      <c r="N94" s="1" t="s">
        <v>45</v>
      </c>
    </row>
    <row r="95" spans="1:14" ht="18" customHeight="1">
      <c r="A95" s="1">
        <v>89</v>
      </c>
      <c r="B95" s="1">
        <v>2024</v>
      </c>
      <c r="C95" s="1" t="s">
        <v>65</v>
      </c>
      <c r="D95" s="3">
        <v>45513</v>
      </c>
      <c r="E95" s="1" t="s">
        <v>51</v>
      </c>
      <c r="F95" s="1" t="s">
        <v>73</v>
      </c>
      <c r="G95" s="1" t="s">
        <v>93</v>
      </c>
      <c r="H95" s="1" t="s">
        <v>91</v>
      </c>
      <c r="I95" s="4">
        <v>3</v>
      </c>
      <c r="J95" s="4">
        <f>VLOOKUP(H95,품목리스트!$B$5:$C$15,2,FALSE)</f>
        <v>5200000</v>
      </c>
      <c r="K95" s="6">
        <f t="shared" si="4"/>
        <v>15600000</v>
      </c>
      <c r="L95" s="6">
        <f t="shared" si="5"/>
        <v>17160000</v>
      </c>
      <c r="M95" s="1" t="s">
        <v>38</v>
      </c>
      <c r="N95" s="1" t="s">
        <v>39</v>
      </c>
    </row>
    <row r="96" spans="1:14" ht="18" customHeight="1">
      <c r="A96" s="1">
        <v>90</v>
      </c>
      <c r="B96" s="1">
        <v>2024</v>
      </c>
      <c r="C96" s="1" t="s">
        <v>65</v>
      </c>
      <c r="D96" s="3">
        <v>45527</v>
      </c>
      <c r="E96" s="1" t="s">
        <v>67</v>
      </c>
      <c r="F96" s="1" t="s">
        <v>37</v>
      </c>
      <c r="G96" s="1" t="s">
        <v>93</v>
      </c>
      <c r="H96" s="1" t="s">
        <v>10</v>
      </c>
      <c r="I96" s="4">
        <v>1</v>
      </c>
      <c r="J96" s="4">
        <f>VLOOKUP(H96,품목리스트!$B$5:$C$15,2,FALSE)</f>
        <v>4500000</v>
      </c>
      <c r="K96" s="6">
        <f t="shared" si="4"/>
        <v>4500000</v>
      </c>
      <c r="L96" s="6">
        <f t="shared" si="5"/>
        <v>4950000</v>
      </c>
      <c r="M96" s="1" t="s">
        <v>38</v>
      </c>
      <c r="N96" s="1" t="s">
        <v>39</v>
      </c>
    </row>
    <row r="97" spans="1:14" ht="18" customHeight="1">
      <c r="A97" s="1">
        <v>91</v>
      </c>
      <c r="B97" s="1">
        <v>2024</v>
      </c>
      <c r="C97" s="1" t="s">
        <v>68</v>
      </c>
      <c r="D97" s="3">
        <v>45544</v>
      </c>
      <c r="E97" s="1" t="s">
        <v>64</v>
      </c>
      <c r="F97" s="1" t="s">
        <v>77</v>
      </c>
      <c r="G97" s="1" t="s">
        <v>93</v>
      </c>
      <c r="H97" s="1" t="s">
        <v>10</v>
      </c>
      <c r="I97" s="4">
        <v>91</v>
      </c>
      <c r="J97" s="4">
        <f>VLOOKUP(H97,품목리스트!$B$5:$C$15,2,FALSE)</f>
        <v>4500000</v>
      </c>
      <c r="K97" s="6">
        <f t="shared" si="4"/>
        <v>409500000</v>
      </c>
      <c r="L97" s="6">
        <f t="shared" si="5"/>
        <v>450450000</v>
      </c>
      <c r="M97" s="1" t="s">
        <v>38</v>
      </c>
      <c r="N97" s="1" t="s">
        <v>48</v>
      </c>
    </row>
    <row r="98" spans="1:14" ht="18" customHeight="1">
      <c r="A98" s="1">
        <v>92</v>
      </c>
      <c r="B98" s="1">
        <v>2024</v>
      </c>
      <c r="C98" s="1" t="s">
        <v>68</v>
      </c>
      <c r="D98" s="3">
        <v>45538</v>
      </c>
      <c r="E98" s="1" t="s">
        <v>56</v>
      </c>
      <c r="F98" s="1" t="s">
        <v>71</v>
      </c>
      <c r="G98" s="1" t="s">
        <v>93</v>
      </c>
      <c r="H98" s="1" t="s">
        <v>10</v>
      </c>
      <c r="I98" s="4">
        <v>4</v>
      </c>
      <c r="J98" s="4">
        <f>VLOOKUP(H98,품목리스트!$B$5:$C$15,2,FALSE)</f>
        <v>4500000</v>
      </c>
      <c r="K98" s="6">
        <f t="shared" si="4"/>
        <v>18000000</v>
      </c>
      <c r="L98" s="6">
        <f t="shared" si="5"/>
        <v>19800000</v>
      </c>
      <c r="M98" s="1" t="s">
        <v>38</v>
      </c>
      <c r="N98" s="1" t="s">
        <v>39</v>
      </c>
    </row>
    <row r="99" spans="1:14" ht="18" customHeight="1">
      <c r="A99" s="1">
        <v>93</v>
      </c>
      <c r="B99" s="1">
        <v>2024</v>
      </c>
      <c r="C99" s="1" t="s">
        <v>68</v>
      </c>
      <c r="D99" s="3">
        <v>45557</v>
      </c>
      <c r="E99" s="1" t="s">
        <v>59</v>
      </c>
      <c r="F99" s="1" t="s">
        <v>52</v>
      </c>
      <c r="G99" s="1" t="s">
        <v>6</v>
      </c>
      <c r="H99" s="1" t="s">
        <v>8</v>
      </c>
      <c r="I99" s="4">
        <v>3</v>
      </c>
      <c r="J99" s="4">
        <f>VLOOKUP(H99,품목리스트!$B$5:$C$15,2,FALSE)</f>
        <v>145000</v>
      </c>
      <c r="K99" s="6">
        <f t="shared" si="4"/>
        <v>435000</v>
      </c>
      <c r="L99" s="6">
        <f t="shared" si="5"/>
        <v>478500</v>
      </c>
      <c r="M99" s="1" t="s">
        <v>41</v>
      </c>
      <c r="N99" s="1" t="s">
        <v>45</v>
      </c>
    </row>
    <row r="100" spans="1:14" ht="18" customHeight="1">
      <c r="A100" s="1">
        <v>94</v>
      </c>
      <c r="B100" s="1">
        <v>2024</v>
      </c>
      <c r="C100" s="1" t="s">
        <v>70</v>
      </c>
      <c r="D100" s="3">
        <v>45569</v>
      </c>
      <c r="E100" s="1" t="s">
        <v>59</v>
      </c>
      <c r="F100" s="1" t="s">
        <v>44</v>
      </c>
      <c r="G100" s="1" t="s">
        <v>12</v>
      </c>
      <c r="H100" s="1" t="s">
        <v>14</v>
      </c>
      <c r="I100" s="4">
        <v>80</v>
      </c>
      <c r="J100" s="4">
        <f>VLOOKUP(H100,품목리스트!$B$5:$C$15,2,FALSE)</f>
        <v>4800000</v>
      </c>
      <c r="K100" s="6">
        <f t="shared" si="4"/>
        <v>384000000</v>
      </c>
      <c r="L100" s="6">
        <f t="shared" si="5"/>
        <v>422400000</v>
      </c>
      <c r="M100" s="1" t="s">
        <v>41</v>
      </c>
      <c r="N100" s="1" t="s">
        <v>39</v>
      </c>
    </row>
    <row r="101" spans="1:14" ht="18" customHeight="1">
      <c r="A101" s="1">
        <v>95</v>
      </c>
      <c r="B101" s="1">
        <v>2024</v>
      </c>
      <c r="C101" s="1" t="s">
        <v>70</v>
      </c>
      <c r="D101" s="3">
        <v>45575</v>
      </c>
      <c r="E101" s="1" t="s">
        <v>67</v>
      </c>
      <c r="F101" s="1" t="s">
        <v>49</v>
      </c>
      <c r="G101" s="1" t="s">
        <v>93</v>
      </c>
      <c r="H101" s="1" t="s">
        <v>91</v>
      </c>
      <c r="I101" s="4">
        <v>4</v>
      </c>
      <c r="J101" s="4">
        <f>VLOOKUP(H101,품목리스트!$B$5:$C$15,2,FALSE)</f>
        <v>5200000</v>
      </c>
      <c r="K101" s="6">
        <f t="shared" si="4"/>
        <v>20800000</v>
      </c>
      <c r="L101" s="6">
        <f t="shared" si="5"/>
        <v>22880000</v>
      </c>
      <c r="M101" s="1" t="s">
        <v>41</v>
      </c>
      <c r="N101" s="1" t="s">
        <v>48</v>
      </c>
    </row>
    <row r="102" spans="1:14" ht="18" customHeight="1">
      <c r="A102" s="1">
        <v>96</v>
      </c>
      <c r="B102" s="1">
        <v>2024</v>
      </c>
      <c r="C102" s="1" t="s">
        <v>70</v>
      </c>
      <c r="D102" s="3">
        <v>45577</v>
      </c>
      <c r="E102" s="1" t="s">
        <v>67</v>
      </c>
      <c r="F102" s="1" t="s">
        <v>37</v>
      </c>
      <c r="G102" s="1" t="s">
        <v>6</v>
      </c>
      <c r="H102" s="1" t="s">
        <v>7</v>
      </c>
      <c r="I102" s="4">
        <v>1</v>
      </c>
      <c r="J102" s="4">
        <f>VLOOKUP(H102,품목리스트!$B$5:$C$15,2,FALSE)</f>
        <v>130000</v>
      </c>
      <c r="K102" s="6">
        <f t="shared" si="4"/>
        <v>130000</v>
      </c>
      <c r="L102" s="6">
        <f t="shared" si="5"/>
        <v>143000</v>
      </c>
      <c r="M102" s="1" t="s">
        <v>38</v>
      </c>
      <c r="N102" s="1" t="s">
        <v>55</v>
      </c>
    </row>
    <row r="103" spans="1:14" ht="18" customHeight="1">
      <c r="A103" s="1">
        <v>97</v>
      </c>
      <c r="B103" s="1">
        <v>2024</v>
      </c>
      <c r="C103" s="1" t="s">
        <v>72</v>
      </c>
      <c r="D103" s="3">
        <v>45603</v>
      </c>
      <c r="E103" s="1" t="s">
        <v>59</v>
      </c>
      <c r="F103" s="1" t="s">
        <v>66</v>
      </c>
      <c r="G103" s="1" t="s">
        <v>16</v>
      </c>
      <c r="H103" s="1" t="s">
        <v>17</v>
      </c>
      <c r="I103" s="4">
        <v>80</v>
      </c>
      <c r="J103" s="4">
        <f>VLOOKUP(H103,품목리스트!$B$5:$C$15,2,FALSE)</f>
        <v>180000</v>
      </c>
      <c r="K103" s="6">
        <f t="shared" ref="K103:K108" si="6">ROUND(I103*J103,0)</f>
        <v>14400000</v>
      </c>
      <c r="L103" s="6">
        <f t="shared" ref="L103:L108" si="7">ROUND(K103*(1+$B$5),0)</f>
        <v>15840000</v>
      </c>
      <c r="M103" s="1" t="s">
        <v>41</v>
      </c>
      <c r="N103" s="1" t="s">
        <v>39</v>
      </c>
    </row>
    <row r="104" spans="1:14" ht="18" customHeight="1">
      <c r="A104" s="1">
        <v>98</v>
      </c>
      <c r="B104" s="1">
        <v>2024</v>
      </c>
      <c r="C104" s="1" t="s">
        <v>72</v>
      </c>
      <c r="D104" s="3">
        <v>45602</v>
      </c>
      <c r="E104" s="1" t="s">
        <v>56</v>
      </c>
      <c r="F104" s="1" t="s">
        <v>37</v>
      </c>
      <c r="G104" s="1" t="s">
        <v>6</v>
      </c>
      <c r="H104" s="1" t="s">
        <v>7</v>
      </c>
      <c r="I104" s="4">
        <v>3</v>
      </c>
      <c r="J104" s="4">
        <f>VLOOKUP(H104,품목리스트!$B$5:$C$15,2,FALSE)</f>
        <v>130000</v>
      </c>
      <c r="K104" s="6">
        <f t="shared" si="6"/>
        <v>390000</v>
      </c>
      <c r="L104" s="6">
        <f t="shared" si="7"/>
        <v>429000</v>
      </c>
      <c r="M104" s="1" t="s">
        <v>38</v>
      </c>
      <c r="N104" s="1" t="s">
        <v>48</v>
      </c>
    </row>
    <row r="105" spans="1:14" ht="18" customHeight="1">
      <c r="A105" s="1">
        <v>99</v>
      </c>
      <c r="B105" s="1">
        <v>2024</v>
      </c>
      <c r="C105" s="1" t="s">
        <v>74</v>
      </c>
      <c r="D105" s="3">
        <v>45640</v>
      </c>
      <c r="E105" s="1" t="s">
        <v>64</v>
      </c>
      <c r="F105" s="1" t="s">
        <v>66</v>
      </c>
      <c r="G105" s="1" t="s">
        <v>6</v>
      </c>
      <c r="H105" s="1" t="s">
        <v>8</v>
      </c>
      <c r="I105" s="4">
        <v>74</v>
      </c>
      <c r="J105" s="4">
        <f>VLOOKUP(H105,품목리스트!$B$5:$C$15,2,FALSE)</f>
        <v>145000</v>
      </c>
      <c r="K105" s="6">
        <f t="shared" si="6"/>
        <v>10730000</v>
      </c>
      <c r="L105" s="6">
        <f t="shared" si="7"/>
        <v>11803000</v>
      </c>
      <c r="M105" s="1" t="s">
        <v>41</v>
      </c>
      <c r="N105" s="1" t="s">
        <v>39</v>
      </c>
    </row>
    <row r="106" spans="1:14" ht="18" customHeight="1">
      <c r="A106" s="1">
        <v>100</v>
      </c>
      <c r="B106" s="1">
        <v>2024</v>
      </c>
      <c r="C106" s="1" t="s">
        <v>74</v>
      </c>
      <c r="D106" s="3">
        <v>45649</v>
      </c>
      <c r="E106" s="1" t="s">
        <v>59</v>
      </c>
      <c r="F106" s="1" t="s">
        <v>49</v>
      </c>
      <c r="G106" s="1" t="s">
        <v>93</v>
      </c>
      <c r="H106" s="1" t="s">
        <v>91</v>
      </c>
      <c r="I106" s="4">
        <v>4</v>
      </c>
      <c r="J106" s="4">
        <f>VLOOKUP(H106,품목리스트!$B$5:$C$15,2,FALSE)</f>
        <v>5200000</v>
      </c>
      <c r="K106" s="6">
        <f t="shared" si="6"/>
        <v>20800000</v>
      </c>
      <c r="L106" s="6">
        <f t="shared" si="7"/>
        <v>22880000</v>
      </c>
      <c r="M106" s="1" t="s">
        <v>41</v>
      </c>
      <c r="N106" s="1" t="s">
        <v>39</v>
      </c>
    </row>
    <row r="107" spans="1:14" ht="18" customHeight="1">
      <c r="A107" s="1">
        <v>101</v>
      </c>
      <c r="B107" s="1">
        <v>2024</v>
      </c>
      <c r="C107" s="1" t="s">
        <v>74</v>
      </c>
      <c r="D107" s="3">
        <v>45643</v>
      </c>
      <c r="E107" s="1" t="s">
        <v>51</v>
      </c>
      <c r="F107" s="1" t="s">
        <v>40</v>
      </c>
      <c r="G107" s="1" t="s">
        <v>12</v>
      </c>
      <c r="H107" s="1" t="s">
        <v>15</v>
      </c>
      <c r="I107" s="4">
        <v>1</v>
      </c>
      <c r="J107" s="4">
        <f>VLOOKUP(H107,품목리스트!$B$5:$C$15,2,FALSE)</f>
        <v>60000</v>
      </c>
      <c r="K107" s="6">
        <f t="shared" si="6"/>
        <v>60000</v>
      </c>
      <c r="L107" s="6">
        <f t="shared" si="7"/>
        <v>66000</v>
      </c>
      <c r="M107" s="1" t="s">
        <v>41</v>
      </c>
      <c r="N107" s="1" t="s">
        <v>55</v>
      </c>
    </row>
    <row r="108" spans="1:14" ht="18" customHeight="1">
      <c r="A108" s="1">
        <v>102</v>
      </c>
      <c r="B108" s="1">
        <v>2024</v>
      </c>
      <c r="C108" s="1" t="s">
        <v>74</v>
      </c>
      <c r="D108" s="3">
        <v>45630</v>
      </c>
      <c r="E108" s="1" t="s">
        <v>36</v>
      </c>
      <c r="F108" s="1" t="s">
        <v>40</v>
      </c>
      <c r="G108" s="1" t="s">
        <v>93</v>
      </c>
      <c r="H108" s="1" t="s">
        <v>10</v>
      </c>
      <c r="I108" s="4">
        <v>2</v>
      </c>
      <c r="J108" s="4">
        <f>VLOOKUP(H108,품목리스트!$B$5:$C$15,2,FALSE)</f>
        <v>4500000</v>
      </c>
      <c r="K108" s="6">
        <f t="shared" si="6"/>
        <v>9000000</v>
      </c>
      <c r="L108" s="6">
        <f t="shared" si="7"/>
        <v>9900000</v>
      </c>
      <c r="M108" s="1" t="s">
        <v>41</v>
      </c>
      <c r="N108" s="1" t="s">
        <v>48</v>
      </c>
    </row>
    <row r="109" spans="1:14" ht="18" customHeight="1">
      <c r="A109" s="2" t="s">
        <v>78</v>
      </c>
      <c r="B109" s="2"/>
      <c r="C109" s="2"/>
      <c r="D109" s="2"/>
      <c r="E109" s="2"/>
      <c r="F109" s="2"/>
      <c r="G109" s="2"/>
      <c r="H109" s="2"/>
      <c r="I109" s="5">
        <f>SUM(I7:I108)</f>
        <v>2697</v>
      </c>
      <c r="J109" s="5"/>
      <c r="K109" s="5">
        <f>SUM(K7:K108)</f>
        <v>5661810000</v>
      </c>
      <c r="L109" s="5">
        <f>SUM(L7:L108)</f>
        <v>6227991000</v>
      </c>
      <c r="M109" s="2"/>
      <c r="N109" s="2"/>
    </row>
  </sheetData>
  <mergeCells count="4">
    <mergeCell ref="A1:N1"/>
    <mergeCell ref="A2:N2"/>
    <mergeCell ref="A3:N3"/>
    <mergeCell ref="A4:N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9"/>
  <sheetViews>
    <sheetView showGridLines="0" workbookViewId="0">
      <selection sqref="A1:N1"/>
    </sheetView>
  </sheetViews>
  <sheetFormatPr baseColWidth="10" defaultColWidth="8.83203125" defaultRowHeight="14"/>
  <cols>
    <col min="1" max="1" width="7" customWidth="1"/>
    <col min="2" max="2" width="10" customWidth="1"/>
    <col min="3" max="3" width="12" customWidth="1"/>
    <col min="4" max="4" width="13" customWidth="1"/>
    <col min="5" max="5" width="10" customWidth="1"/>
    <col min="6" max="6" width="24" customWidth="1"/>
    <col min="7" max="7" width="18" customWidth="1"/>
    <col min="8" max="8" width="14" customWidth="1"/>
    <col min="9" max="9" width="10" customWidth="1"/>
    <col min="10" max="12" width="16" customWidth="1"/>
    <col min="13" max="13" width="14" customWidth="1"/>
    <col min="14" max="14" width="15" customWidth="1"/>
  </cols>
  <sheetData>
    <row r="1" spans="1:14" ht="28" customHeight="1">
      <c r="A1" s="12" t="s">
        <v>79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2" customHeight="1">
      <c r="A2" s="13" t="s">
        <v>80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2" customHeight="1">
      <c r="A3" s="13" t="s">
        <v>21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22" customHeight="1">
      <c r="A4" s="13" t="s">
        <v>22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0" customHeight="1">
      <c r="A5" s="9" t="s">
        <v>23</v>
      </c>
      <c r="B5" s="10">
        <v>0.1</v>
      </c>
    </row>
    <row r="6" spans="1:14" ht="34" customHeight="1">
      <c r="A6" s="11" t="s">
        <v>24</v>
      </c>
      <c r="B6" s="11" t="s">
        <v>25</v>
      </c>
      <c r="C6" s="11" t="s">
        <v>26</v>
      </c>
      <c r="D6" s="11" t="s">
        <v>27</v>
      </c>
      <c r="E6" s="11" t="s">
        <v>28</v>
      </c>
      <c r="F6" s="11" t="s">
        <v>29</v>
      </c>
      <c r="G6" s="11" t="s">
        <v>3</v>
      </c>
      <c r="H6" s="11" t="s">
        <v>4</v>
      </c>
      <c r="I6" s="11" t="s">
        <v>30</v>
      </c>
      <c r="J6" s="11" t="s">
        <v>5</v>
      </c>
      <c r="K6" s="11" t="s">
        <v>31</v>
      </c>
      <c r="L6" s="11" t="s">
        <v>32</v>
      </c>
      <c r="M6" s="11" t="s">
        <v>33</v>
      </c>
      <c r="N6" s="11" t="s">
        <v>34</v>
      </c>
    </row>
    <row r="7" spans="1:14" ht="18" customHeight="1">
      <c r="A7" s="1">
        <v>1</v>
      </c>
      <c r="B7" s="1">
        <v>2022</v>
      </c>
      <c r="C7" s="1" t="s">
        <v>35</v>
      </c>
      <c r="D7" s="3">
        <v>44568</v>
      </c>
      <c r="E7" s="1" t="s">
        <v>36</v>
      </c>
      <c r="F7" s="1" t="s">
        <v>40</v>
      </c>
      <c r="G7" s="1" t="s">
        <v>16</v>
      </c>
      <c r="H7" s="1" t="s">
        <v>18</v>
      </c>
      <c r="I7" s="4">
        <v>38</v>
      </c>
      <c r="J7" s="4">
        <f>VLOOKUP(H7,품목리스트!$B$5:$C$15,2,FALSE)</f>
        <v>240000</v>
      </c>
      <c r="K7" s="6">
        <f t="shared" ref="K7:K38" si="0">ROUND(I7*J7,0)</f>
        <v>9120000</v>
      </c>
      <c r="L7" s="6">
        <f t="shared" ref="L7:L38" si="1">ROUND(K7*(1+$B$5),0)</f>
        <v>10032000</v>
      </c>
      <c r="M7" s="1" t="s">
        <v>41</v>
      </c>
      <c r="N7" s="1" t="s">
        <v>81</v>
      </c>
    </row>
    <row r="8" spans="1:14" ht="18" customHeight="1">
      <c r="A8" s="1">
        <v>2</v>
      </c>
      <c r="B8" s="1">
        <v>2022</v>
      </c>
      <c r="C8" s="1" t="s">
        <v>35</v>
      </c>
      <c r="D8" s="3">
        <v>44585</v>
      </c>
      <c r="E8" s="1" t="s">
        <v>51</v>
      </c>
      <c r="F8" s="1" t="s">
        <v>73</v>
      </c>
      <c r="G8" s="1" t="s">
        <v>12</v>
      </c>
      <c r="H8" s="1" t="s">
        <v>14</v>
      </c>
      <c r="I8" s="4">
        <v>3</v>
      </c>
      <c r="J8" s="4">
        <f>VLOOKUP(H8,품목리스트!$B$5:$C$15,2,FALSE)</f>
        <v>4800000</v>
      </c>
      <c r="K8" s="6">
        <f t="shared" si="0"/>
        <v>14400000</v>
      </c>
      <c r="L8" s="6">
        <f t="shared" si="1"/>
        <v>15840000</v>
      </c>
      <c r="M8" s="1" t="s">
        <v>38</v>
      </c>
      <c r="N8" s="1" t="s">
        <v>82</v>
      </c>
    </row>
    <row r="9" spans="1:14" ht="18" customHeight="1">
      <c r="A9" s="1">
        <v>3</v>
      </c>
      <c r="B9" s="1">
        <v>2022</v>
      </c>
      <c r="C9" s="1" t="s">
        <v>42</v>
      </c>
      <c r="D9" s="3">
        <v>44599</v>
      </c>
      <c r="E9" s="1" t="s">
        <v>36</v>
      </c>
      <c r="F9" s="1" t="s">
        <v>66</v>
      </c>
      <c r="G9" s="1" t="s">
        <v>6</v>
      </c>
      <c r="H9" s="1" t="s">
        <v>7</v>
      </c>
      <c r="I9" s="4">
        <v>52</v>
      </c>
      <c r="J9" s="4">
        <f>VLOOKUP(H9,품목리스트!$B$5:$C$15,2,FALSE)</f>
        <v>130000</v>
      </c>
      <c r="K9" s="6">
        <f t="shared" si="0"/>
        <v>6760000</v>
      </c>
      <c r="L9" s="6">
        <f t="shared" si="1"/>
        <v>7436000</v>
      </c>
      <c r="M9" s="1" t="s">
        <v>41</v>
      </c>
      <c r="N9" s="1" t="s">
        <v>81</v>
      </c>
    </row>
    <row r="10" spans="1:14" ht="18" customHeight="1">
      <c r="A10" s="1">
        <v>4</v>
      </c>
      <c r="B10" s="1">
        <v>2022</v>
      </c>
      <c r="C10" s="1" t="s">
        <v>42</v>
      </c>
      <c r="D10" s="3">
        <v>44602</v>
      </c>
      <c r="E10" s="1" t="s">
        <v>59</v>
      </c>
      <c r="F10" s="1" t="s">
        <v>73</v>
      </c>
      <c r="G10" s="1" t="s">
        <v>16</v>
      </c>
      <c r="H10" s="1" t="s">
        <v>17</v>
      </c>
      <c r="I10" s="4">
        <v>3</v>
      </c>
      <c r="J10" s="4">
        <f>VLOOKUP(H10,품목리스트!$B$5:$C$15,2,FALSE)</f>
        <v>180000</v>
      </c>
      <c r="K10" s="6">
        <f t="shared" si="0"/>
        <v>540000</v>
      </c>
      <c r="L10" s="6">
        <f t="shared" si="1"/>
        <v>594000</v>
      </c>
      <c r="M10" s="1" t="s">
        <v>38</v>
      </c>
      <c r="N10" s="1" t="s">
        <v>82</v>
      </c>
    </row>
    <row r="11" spans="1:14" ht="18" customHeight="1">
      <c r="A11" s="1">
        <v>5</v>
      </c>
      <c r="B11" s="1">
        <v>2022</v>
      </c>
      <c r="C11" s="1" t="s">
        <v>42</v>
      </c>
      <c r="D11" s="3">
        <v>44612</v>
      </c>
      <c r="E11" s="1" t="s">
        <v>36</v>
      </c>
      <c r="F11" s="1" t="s">
        <v>49</v>
      </c>
      <c r="G11" s="1" t="s">
        <v>16</v>
      </c>
      <c r="H11" s="1" t="s">
        <v>17</v>
      </c>
      <c r="I11" s="4">
        <v>1</v>
      </c>
      <c r="J11" s="4">
        <f>VLOOKUP(H11,품목리스트!$B$5:$C$15,2,FALSE)</f>
        <v>180000</v>
      </c>
      <c r="K11" s="6">
        <f t="shared" si="0"/>
        <v>180000</v>
      </c>
      <c r="L11" s="6">
        <f t="shared" si="1"/>
        <v>198000</v>
      </c>
      <c r="M11" s="1" t="s">
        <v>41</v>
      </c>
      <c r="N11" s="1" t="s">
        <v>81</v>
      </c>
    </row>
    <row r="12" spans="1:14" ht="18" customHeight="1">
      <c r="A12" s="1">
        <v>6</v>
      </c>
      <c r="B12" s="1">
        <v>2022</v>
      </c>
      <c r="C12" s="1" t="s">
        <v>50</v>
      </c>
      <c r="D12" s="3">
        <v>44641</v>
      </c>
      <c r="E12" s="1" t="s">
        <v>36</v>
      </c>
      <c r="F12" s="1" t="s">
        <v>66</v>
      </c>
      <c r="G12" s="1" t="s">
        <v>16</v>
      </c>
      <c r="H12" s="1" t="s">
        <v>17</v>
      </c>
      <c r="I12" s="4">
        <v>42</v>
      </c>
      <c r="J12" s="4">
        <f>VLOOKUP(H12,품목리스트!$B$5:$C$15,2,FALSE)</f>
        <v>180000</v>
      </c>
      <c r="K12" s="6">
        <f t="shared" si="0"/>
        <v>7560000</v>
      </c>
      <c r="L12" s="6">
        <f t="shared" si="1"/>
        <v>8316000</v>
      </c>
      <c r="M12" s="1" t="s">
        <v>41</v>
      </c>
      <c r="N12" s="1" t="s">
        <v>83</v>
      </c>
    </row>
    <row r="13" spans="1:14" ht="18" customHeight="1">
      <c r="A13" s="1">
        <v>7</v>
      </c>
      <c r="B13" s="1">
        <v>2022</v>
      </c>
      <c r="C13" s="1" t="s">
        <v>50</v>
      </c>
      <c r="D13" s="3">
        <v>44639</v>
      </c>
      <c r="E13" s="1" t="s">
        <v>59</v>
      </c>
      <c r="F13" s="1" t="s">
        <v>47</v>
      </c>
      <c r="G13" s="1" t="s">
        <v>6</v>
      </c>
      <c r="H13" s="1" t="s">
        <v>8</v>
      </c>
      <c r="I13" s="4">
        <v>3</v>
      </c>
      <c r="J13" s="4">
        <f>VLOOKUP(H13,품목리스트!$B$5:$C$15,2,FALSE)</f>
        <v>145000</v>
      </c>
      <c r="K13" s="6">
        <f t="shared" si="0"/>
        <v>435000</v>
      </c>
      <c r="L13" s="6">
        <f t="shared" si="1"/>
        <v>478500</v>
      </c>
      <c r="M13" s="1" t="s">
        <v>41</v>
      </c>
      <c r="N13" s="1" t="s">
        <v>82</v>
      </c>
    </row>
    <row r="14" spans="1:14" ht="18" customHeight="1">
      <c r="A14" s="1">
        <v>8</v>
      </c>
      <c r="B14" s="1">
        <v>2022</v>
      </c>
      <c r="C14" s="1" t="s">
        <v>50</v>
      </c>
      <c r="D14" s="3">
        <v>44633</v>
      </c>
      <c r="E14" s="1" t="s">
        <v>36</v>
      </c>
      <c r="F14" s="1" t="s">
        <v>66</v>
      </c>
      <c r="G14" s="1" t="s">
        <v>12</v>
      </c>
      <c r="H14" s="1" t="s">
        <v>15</v>
      </c>
      <c r="I14" s="4">
        <v>2</v>
      </c>
      <c r="J14" s="4">
        <f>VLOOKUP(H14,품목리스트!$B$5:$C$15,2,FALSE)</f>
        <v>60000</v>
      </c>
      <c r="K14" s="6">
        <f t="shared" si="0"/>
        <v>120000</v>
      </c>
      <c r="L14" s="6">
        <f t="shared" si="1"/>
        <v>132000</v>
      </c>
      <c r="M14" s="1" t="s">
        <v>41</v>
      </c>
      <c r="N14" s="1" t="s">
        <v>83</v>
      </c>
    </row>
    <row r="15" spans="1:14" ht="18" customHeight="1">
      <c r="A15" s="1">
        <v>9</v>
      </c>
      <c r="B15" s="1">
        <v>2022</v>
      </c>
      <c r="C15" s="1" t="s">
        <v>53</v>
      </c>
      <c r="D15" s="3">
        <v>44662</v>
      </c>
      <c r="E15" s="1" t="s">
        <v>51</v>
      </c>
      <c r="F15" s="1" t="s">
        <v>66</v>
      </c>
      <c r="G15" s="1" t="s">
        <v>93</v>
      </c>
      <c r="H15" s="1" t="s">
        <v>10</v>
      </c>
      <c r="I15" s="4">
        <v>51</v>
      </c>
      <c r="J15" s="4">
        <f>VLOOKUP(H15,품목리스트!$B$5:$C$15,2,FALSE)</f>
        <v>4500000</v>
      </c>
      <c r="K15" s="6">
        <f t="shared" si="0"/>
        <v>229500000</v>
      </c>
      <c r="L15" s="6">
        <f t="shared" si="1"/>
        <v>252450000</v>
      </c>
      <c r="M15" s="1" t="s">
        <v>41</v>
      </c>
      <c r="N15" s="1" t="s">
        <v>84</v>
      </c>
    </row>
    <row r="16" spans="1:14" ht="18" customHeight="1">
      <c r="A16" s="1">
        <v>10</v>
      </c>
      <c r="B16" s="1">
        <v>2022</v>
      </c>
      <c r="C16" s="1" t="s">
        <v>53</v>
      </c>
      <c r="D16" s="3">
        <v>44657</v>
      </c>
      <c r="E16" s="1" t="s">
        <v>56</v>
      </c>
      <c r="F16" s="1" t="s">
        <v>71</v>
      </c>
      <c r="G16" s="1" t="s">
        <v>6</v>
      </c>
      <c r="H16" s="1" t="s">
        <v>8</v>
      </c>
      <c r="I16" s="4">
        <v>3</v>
      </c>
      <c r="J16" s="4">
        <f>VLOOKUP(H16,품목리스트!$B$5:$C$15,2,FALSE)</f>
        <v>145000</v>
      </c>
      <c r="K16" s="6">
        <f t="shared" si="0"/>
        <v>435000</v>
      </c>
      <c r="L16" s="6">
        <f t="shared" si="1"/>
        <v>478500</v>
      </c>
      <c r="M16" s="1" t="s">
        <v>38</v>
      </c>
      <c r="N16" s="1" t="s">
        <v>82</v>
      </c>
    </row>
    <row r="17" spans="1:14" ht="18" customHeight="1">
      <c r="A17" s="1">
        <v>11</v>
      </c>
      <c r="B17" s="1">
        <v>2022</v>
      </c>
      <c r="C17" s="1" t="s">
        <v>53</v>
      </c>
      <c r="D17" s="3">
        <v>44657</v>
      </c>
      <c r="E17" s="1" t="s">
        <v>46</v>
      </c>
      <c r="F17" s="1" t="s">
        <v>76</v>
      </c>
      <c r="G17" s="1" t="s">
        <v>93</v>
      </c>
      <c r="H17" s="1" t="s">
        <v>91</v>
      </c>
      <c r="I17" s="4">
        <v>1</v>
      </c>
      <c r="J17" s="4">
        <f>VLOOKUP(H17,품목리스트!$B$5:$C$15,2,FALSE)</f>
        <v>5200000</v>
      </c>
      <c r="K17" s="6">
        <f t="shared" si="0"/>
        <v>5200000</v>
      </c>
      <c r="L17" s="6">
        <f t="shared" si="1"/>
        <v>5720000</v>
      </c>
      <c r="M17" s="1" t="s">
        <v>41</v>
      </c>
      <c r="N17" s="1" t="s">
        <v>83</v>
      </c>
    </row>
    <row r="18" spans="1:14" ht="18" customHeight="1">
      <c r="A18" s="1">
        <v>12</v>
      </c>
      <c r="B18" s="1">
        <v>2022</v>
      </c>
      <c r="C18" s="1" t="s">
        <v>58</v>
      </c>
      <c r="D18" s="3">
        <v>44706</v>
      </c>
      <c r="E18" s="1" t="s">
        <v>36</v>
      </c>
      <c r="F18" s="1" t="s">
        <v>75</v>
      </c>
      <c r="G18" s="1" t="s">
        <v>6</v>
      </c>
      <c r="H18" s="1" t="s">
        <v>8</v>
      </c>
      <c r="I18" s="4">
        <v>41</v>
      </c>
      <c r="J18" s="4">
        <f>VLOOKUP(H18,품목리스트!$B$5:$C$15,2,FALSE)</f>
        <v>145000</v>
      </c>
      <c r="K18" s="6">
        <f t="shared" si="0"/>
        <v>5945000</v>
      </c>
      <c r="L18" s="6">
        <f t="shared" si="1"/>
        <v>6539500</v>
      </c>
      <c r="M18" s="1" t="s">
        <v>41</v>
      </c>
      <c r="N18" s="1" t="s">
        <v>81</v>
      </c>
    </row>
    <row r="19" spans="1:14" ht="18" customHeight="1">
      <c r="A19" s="1">
        <v>13</v>
      </c>
      <c r="B19" s="1">
        <v>2022</v>
      </c>
      <c r="C19" s="1" t="s">
        <v>58</v>
      </c>
      <c r="D19" s="3">
        <v>44704</v>
      </c>
      <c r="E19" s="1" t="s">
        <v>67</v>
      </c>
      <c r="F19" s="1" t="s">
        <v>52</v>
      </c>
      <c r="G19" s="1" t="s">
        <v>93</v>
      </c>
      <c r="H19" s="1" t="s">
        <v>11</v>
      </c>
      <c r="I19" s="4">
        <v>3</v>
      </c>
      <c r="J19" s="4">
        <f>VLOOKUP(H19,품목리스트!$B$5:$C$15,2,FALSE)</f>
        <v>6000000</v>
      </c>
      <c r="K19" s="6">
        <f t="shared" si="0"/>
        <v>18000000</v>
      </c>
      <c r="L19" s="6">
        <f t="shared" si="1"/>
        <v>19800000</v>
      </c>
      <c r="M19" s="1" t="s">
        <v>41</v>
      </c>
      <c r="N19" s="1" t="s">
        <v>82</v>
      </c>
    </row>
    <row r="20" spans="1:14" ht="18" customHeight="1">
      <c r="A20" s="1">
        <v>14</v>
      </c>
      <c r="B20" s="1">
        <v>2022</v>
      </c>
      <c r="C20" s="1" t="s">
        <v>61</v>
      </c>
      <c r="D20" s="3">
        <v>44727</v>
      </c>
      <c r="E20" s="1" t="s">
        <v>59</v>
      </c>
      <c r="F20" s="1" t="s">
        <v>73</v>
      </c>
      <c r="G20" s="1" t="s">
        <v>93</v>
      </c>
      <c r="H20" s="1" t="s">
        <v>11</v>
      </c>
      <c r="I20" s="4">
        <v>46</v>
      </c>
      <c r="J20" s="4">
        <f>VLOOKUP(H20,품목리스트!$B$5:$C$15,2,FALSE)</f>
        <v>6000000</v>
      </c>
      <c r="K20" s="6">
        <f t="shared" si="0"/>
        <v>276000000</v>
      </c>
      <c r="L20" s="6">
        <f t="shared" si="1"/>
        <v>303600000</v>
      </c>
      <c r="M20" s="1" t="s">
        <v>38</v>
      </c>
      <c r="N20" s="1" t="s">
        <v>83</v>
      </c>
    </row>
    <row r="21" spans="1:14" ht="18" customHeight="1">
      <c r="A21" s="1">
        <v>15</v>
      </c>
      <c r="B21" s="1">
        <v>2022</v>
      </c>
      <c r="C21" s="1" t="s">
        <v>61</v>
      </c>
      <c r="D21" s="3">
        <v>44715</v>
      </c>
      <c r="E21" s="1" t="s">
        <v>62</v>
      </c>
      <c r="F21" s="1" t="s">
        <v>49</v>
      </c>
      <c r="G21" s="1" t="s">
        <v>93</v>
      </c>
      <c r="H21" s="1" t="s">
        <v>10</v>
      </c>
      <c r="I21" s="4">
        <v>4</v>
      </c>
      <c r="J21" s="4">
        <f>VLOOKUP(H21,품목리스트!$B$5:$C$15,2,FALSE)</f>
        <v>4500000</v>
      </c>
      <c r="K21" s="6">
        <f t="shared" si="0"/>
        <v>18000000</v>
      </c>
      <c r="L21" s="6">
        <f t="shared" si="1"/>
        <v>19800000</v>
      </c>
      <c r="M21" s="1" t="s">
        <v>41</v>
      </c>
      <c r="N21" s="1" t="s">
        <v>83</v>
      </c>
    </row>
    <row r="22" spans="1:14" ht="18" customHeight="1">
      <c r="A22" s="1">
        <v>16</v>
      </c>
      <c r="B22" s="1">
        <v>2022</v>
      </c>
      <c r="C22" s="1" t="s">
        <v>61</v>
      </c>
      <c r="D22" s="3">
        <v>44737</v>
      </c>
      <c r="E22" s="1" t="s">
        <v>36</v>
      </c>
      <c r="F22" s="1" t="s">
        <v>57</v>
      </c>
      <c r="G22" s="1" t="s">
        <v>16</v>
      </c>
      <c r="H22" s="1" t="s">
        <v>17</v>
      </c>
      <c r="I22" s="4">
        <v>1</v>
      </c>
      <c r="J22" s="4">
        <f>VLOOKUP(H22,품목리스트!$B$5:$C$15,2,FALSE)</f>
        <v>180000</v>
      </c>
      <c r="K22" s="6">
        <f t="shared" si="0"/>
        <v>180000</v>
      </c>
      <c r="L22" s="6">
        <f t="shared" si="1"/>
        <v>198000</v>
      </c>
      <c r="M22" s="1" t="s">
        <v>38</v>
      </c>
      <c r="N22" s="1" t="s">
        <v>83</v>
      </c>
    </row>
    <row r="23" spans="1:14" ht="18" customHeight="1">
      <c r="A23" s="1">
        <v>17</v>
      </c>
      <c r="B23" s="1">
        <v>2022</v>
      </c>
      <c r="C23" s="1" t="s">
        <v>61</v>
      </c>
      <c r="D23" s="3">
        <v>44736</v>
      </c>
      <c r="E23" s="1" t="s">
        <v>59</v>
      </c>
      <c r="F23" s="1" t="s">
        <v>73</v>
      </c>
      <c r="G23" s="1" t="s">
        <v>93</v>
      </c>
      <c r="H23" s="1" t="s">
        <v>11</v>
      </c>
      <c r="I23" s="4">
        <v>2</v>
      </c>
      <c r="J23" s="4">
        <f>VLOOKUP(H23,품목리스트!$B$5:$C$15,2,FALSE)</f>
        <v>6000000</v>
      </c>
      <c r="K23" s="6">
        <f t="shared" si="0"/>
        <v>12000000</v>
      </c>
      <c r="L23" s="6">
        <f t="shared" si="1"/>
        <v>13200000</v>
      </c>
      <c r="M23" s="1" t="s">
        <v>38</v>
      </c>
      <c r="N23" s="1" t="s">
        <v>83</v>
      </c>
    </row>
    <row r="24" spans="1:14" ht="18" customHeight="1">
      <c r="A24" s="1">
        <v>18</v>
      </c>
      <c r="B24" s="1">
        <v>2022</v>
      </c>
      <c r="C24" s="1" t="s">
        <v>63</v>
      </c>
      <c r="D24" s="3">
        <v>44766</v>
      </c>
      <c r="E24" s="1" t="s">
        <v>64</v>
      </c>
      <c r="F24" s="1" t="s">
        <v>76</v>
      </c>
      <c r="G24" s="1" t="s">
        <v>6</v>
      </c>
      <c r="H24" s="1" t="s">
        <v>9</v>
      </c>
      <c r="I24" s="4">
        <v>42</v>
      </c>
      <c r="J24" s="4">
        <f>VLOOKUP(H24,품목리스트!$B$5:$C$15,2,FALSE)</f>
        <v>175000</v>
      </c>
      <c r="K24" s="6">
        <f t="shared" si="0"/>
        <v>7350000</v>
      </c>
      <c r="L24" s="6">
        <f t="shared" si="1"/>
        <v>8085000</v>
      </c>
      <c r="M24" s="1" t="s">
        <v>41</v>
      </c>
      <c r="N24" s="1" t="s">
        <v>82</v>
      </c>
    </row>
    <row r="25" spans="1:14" ht="18" customHeight="1">
      <c r="A25" s="1">
        <v>19</v>
      </c>
      <c r="B25" s="1">
        <v>2022</v>
      </c>
      <c r="C25" s="1" t="s">
        <v>63</v>
      </c>
      <c r="D25" s="3">
        <v>44763</v>
      </c>
      <c r="E25" s="1" t="s">
        <v>67</v>
      </c>
      <c r="F25" s="1" t="s">
        <v>75</v>
      </c>
      <c r="G25" s="1" t="s">
        <v>6</v>
      </c>
      <c r="H25" s="1" t="s">
        <v>9</v>
      </c>
      <c r="I25" s="4">
        <v>4</v>
      </c>
      <c r="J25" s="4">
        <f>VLOOKUP(H25,품목리스트!$B$5:$C$15,2,FALSE)</f>
        <v>175000</v>
      </c>
      <c r="K25" s="6">
        <f t="shared" si="0"/>
        <v>700000</v>
      </c>
      <c r="L25" s="6">
        <f t="shared" si="1"/>
        <v>770000</v>
      </c>
      <c r="M25" s="1" t="s">
        <v>41</v>
      </c>
      <c r="N25" s="1" t="s">
        <v>82</v>
      </c>
    </row>
    <row r="26" spans="1:14" ht="18" customHeight="1">
      <c r="A26" s="1">
        <v>20</v>
      </c>
      <c r="B26" s="1">
        <v>2022</v>
      </c>
      <c r="C26" s="1" t="s">
        <v>65</v>
      </c>
      <c r="D26" s="3">
        <v>44778</v>
      </c>
      <c r="E26" s="1" t="s">
        <v>51</v>
      </c>
      <c r="F26" s="1" t="s">
        <v>60</v>
      </c>
      <c r="G26" s="1" t="s">
        <v>6</v>
      </c>
      <c r="H26" s="1" t="s">
        <v>9</v>
      </c>
      <c r="I26" s="4">
        <v>38</v>
      </c>
      <c r="J26" s="4">
        <f>VLOOKUP(H26,품목리스트!$B$5:$C$15,2,FALSE)</f>
        <v>175000</v>
      </c>
      <c r="K26" s="6">
        <f t="shared" si="0"/>
        <v>6650000</v>
      </c>
      <c r="L26" s="6">
        <f t="shared" si="1"/>
        <v>7315000</v>
      </c>
      <c r="M26" s="1" t="s">
        <v>41</v>
      </c>
      <c r="N26" s="1" t="s">
        <v>83</v>
      </c>
    </row>
    <row r="27" spans="1:14" ht="18" customHeight="1">
      <c r="A27" s="1">
        <v>21</v>
      </c>
      <c r="B27" s="1">
        <v>2022</v>
      </c>
      <c r="C27" s="1" t="s">
        <v>65</v>
      </c>
      <c r="D27" s="3">
        <v>44776</v>
      </c>
      <c r="E27" s="1" t="s">
        <v>59</v>
      </c>
      <c r="F27" s="1" t="s">
        <v>44</v>
      </c>
      <c r="G27" s="1" t="s">
        <v>16</v>
      </c>
      <c r="H27" s="1" t="s">
        <v>17</v>
      </c>
      <c r="I27" s="4">
        <v>3</v>
      </c>
      <c r="J27" s="4">
        <f>VLOOKUP(H27,품목리스트!$B$5:$C$15,2,FALSE)</f>
        <v>180000</v>
      </c>
      <c r="K27" s="6">
        <f t="shared" si="0"/>
        <v>540000</v>
      </c>
      <c r="L27" s="6">
        <f t="shared" si="1"/>
        <v>594000</v>
      </c>
      <c r="M27" s="1" t="s">
        <v>41</v>
      </c>
      <c r="N27" s="1" t="s">
        <v>84</v>
      </c>
    </row>
    <row r="28" spans="1:14" ht="18" customHeight="1">
      <c r="A28" s="1">
        <v>22</v>
      </c>
      <c r="B28" s="1">
        <v>2022</v>
      </c>
      <c r="C28" s="1" t="s">
        <v>65</v>
      </c>
      <c r="D28" s="3">
        <v>44796</v>
      </c>
      <c r="E28" s="1" t="s">
        <v>67</v>
      </c>
      <c r="F28" s="1" t="s">
        <v>71</v>
      </c>
      <c r="G28" s="1" t="s">
        <v>93</v>
      </c>
      <c r="H28" s="1" t="s">
        <v>11</v>
      </c>
      <c r="I28" s="4">
        <v>1</v>
      </c>
      <c r="J28" s="4">
        <f>VLOOKUP(H28,품목리스트!$B$5:$C$15,2,FALSE)</f>
        <v>6000000</v>
      </c>
      <c r="K28" s="6">
        <f t="shared" si="0"/>
        <v>6000000</v>
      </c>
      <c r="L28" s="6">
        <f t="shared" si="1"/>
        <v>6600000</v>
      </c>
      <c r="M28" s="1" t="s">
        <v>38</v>
      </c>
      <c r="N28" s="1" t="s">
        <v>82</v>
      </c>
    </row>
    <row r="29" spans="1:14" ht="18" customHeight="1">
      <c r="A29" s="1">
        <v>23</v>
      </c>
      <c r="B29" s="1">
        <v>2022</v>
      </c>
      <c r="C29" s="1" t="s">
        <v>68</v>
      </c>
      <c r="D29" s="3">
        <v>44808</v>
      </c>
      <c r="E29" s="1" t="s">
        <v>56</v>
      </c>
      <c r="F29" s="1" t="s">
        <v>49</v>
      </c>
      <c r="G29" s="1" t="s">
        <v>6</v>
      </c>
      <c r="H29" s="1" t="s">
        <v>9</v>
      </c>
      <c r="I29" s="4">
        <v>47</v>
      </c>
      <c r="J29" s="4">
        <f>VLOOKUP(H29,품목리스트!$B$5:$C$15,2,FALSE)</f>
        <v>175000</v>
      </c>
      <c r="K29" s="6">
        <f t="shared" si="0"/>
        <v>8225000</v>
      </c>
      <c r="L29" s="6">
        <f t="shared" si="1"/>
        <v>9047500</v>
      </c>
      <c r="M29" s="1" t="s">
        <v>41</v>
      </c>
      <c r="N29" s="1" t="s">
        <v>81</v>
      </c>
    </row>
    <row r="30" spans="1:14" ht="18" customHeight="1">
      <c r="A30" s="1">
        <v>24</v>
      </c>
      <c r="B30" s="1">
        <v>2022</v>
      </c>
      <c r="C30" s="1" t="s">
        <v>68</v>
      </c>
      <c r="D30" s="3">
        <v>44810</v>
      </c>
      <c r="E30" s="1" t="s">
        <v>46</v>
      </c>
      <c r="F30" s="1" t="s">
        <v>44</v>
      </c>
      <c r="G30" s="1" t="s">
        <v>12</v>
      </c>
      <c r="H30" s="1" t="s">
        <v>14</v>
      </c>
      <c r="I30" s="4">
        <v>4</v>
      </c>
      <c r="J30" s="4">
        <f>VLOOKUP(H30,품목리스트!$B$5:$C$15,2,FALSE)</f>
        <v>4800000</v>
      </c>
      <c r="K30" s="6">
        <f t="shared" si="0"/>
        <v>19200000</v>
      </c>
      <c r="L30" s="6">
        <f t="shared" si="1"/>
        <v>21120000</v>
      </c>
      <c r="M30" s="1" t="s">
        <v>41</v>
      </c>
      <c r="N30" s="1" t="s">
        <v>83</v>
      </c>
    </row>
    <row r="31" spans="1:14" ht="18" customHeight="1">
      <c r="A31" s="1">
        <v>25</v>
      </c>
      <c r="B31" s="1">
        <v>2022</v>
      </c>
      <c r="C31" s="1" t="s">
        <v>68</v>
      </c>
      <c r="D31" s="3">
        <v>44812</v>
      </c>
      <c r="E31" s="1" t="s">
        <v>46</v>
      </c>
      <c r="F31" s="1" t="s">
        <v>49</v>
      </c>
      <c r="G31" s="1" t="s">
        <v>12</v>
      </c>
      <c r="H31" s="1" t="s">
        <v>14</v>
      </c>
      <c r="I31" s="4">
        <v>3</v>
      </c>
      <c r="J31" s="4">
        <f>VLOOKUP(H31,품목리스트!$B$5:$C$15,2,FALSE)</f>
        <v>4800000</v>
      </c>
      <c r="K31" s="6">
        <f t="shared" si="0"/>
        <v>14400000</v>
      </c>
      <c r="L31" s="6">
        <f t="shared" si="1"/>
        <v>15840000</v>
      </c>
      <c r="M31" s="1" t="s">
        <v>41</v>
      </c>
      <c r="N31" s="1" t="s">
        <v>81</v>
      </c>
    </row>
    <row r="32" spans="1:14" ht="18" customHeight="1">
      <c r="A32" s="1">
        <v>26</v>
      </c>
      <c r="B32" s="1">
        <v>2022</v>
      </c>
      <c r="C32" s="1" t="s">
        <v>70</v>
      </c>
      <c r="D32" s="3">
        <v>44856</v>
      </c>
      <c r="E32" s="1" t="s">
        <v>64</v>
      </c>
      <c r="F32" s="1" t="s">
        <v>75</v>
      </c>
      <c r="G32" s="1" t="s">
        <v>93</v>
      </c>
      <c r="H32" s="1" t="s">
        <v>10</v>
      </c>
      <c r="I32" s="4">
        <v>46</v>
      </c>
      <c r="J32" s="4">
        <f>VLOOKUP(H32,품목리스트!$B$5:$C$15,2,FALSE)</f>
        <v>4500000</v>
      </c>
      <c r="K32" s="6">
        <f t="shared" si="0"/>
        <v>207000000</v>
      </c>
      <c r="L32" s="6">
        <f t="shared" si="1"/>
        <v>227700000</v>
      </c>
      <c r="M32" s="1" t="s">
        <v>41</v>
      </c>
      <c r="N32" s="1" t="s">
        <v>81</v>
      </c>
    </row>
    <row r="33" spans="1:14" ht="18" customHeight="1">
      <c r="A33" s="1">
        <v>27</v>
      </c>
      <c r="B33" s="1">
        <v>2022</v>
      </c>
      <c r="C33" s="1" t="s">
        <v>70</v>
      </c>
      <c r="D33" s="3">
        <v>44841</v>
      </c>
      <c r="E33" s="1" t="s">
        <v>51</v>
      </c>
      <c r="F33" s="1" t="s">
        <v>57</v>
      </c>
      <c r="G33" s="1" t="s">
        <v>12</v>
      </c>
      <c r="H33" s="1" t="s">
        <v>13</v>
      </c>
      <c r="I33" s="4">
        <v>4</v>
      </c>
      <c r="J33" s="4">
        <f>VLOOKUP(H33,품목리스트!$B$5:$C$15,2,FALSE)</f>
        <v>4200000</v>
      </c>
      <c r="K33" s="6">
        <f t="shared" si="0"/>
        <v>16800000</v>
      </c>
      <c r="L33" s="6">
        <f t="shared" si="1"/>
        <v>18480000</v>
      </c>
      <c r="M33" s="1" t="s">
        <v>38</v>
      </c>
      <c r="N33" s="1" t="s">
        <v>83</v>
      </c>
    </row>
    <row r="34" spans="1:14" ht="18" customHeight="1">
      <c r="A34" s="1">
        <v>28</v>
      </c>
      <c r="B34" s="1">
        <v>2022</v>
      </c>
      <c r="C34" s="1" t="s">
        <v>70</v>
      </c>
      <c r="D34" s="3">
        <v>44840</v>
      </c>
      <c r="E34" s="1" t="s">
        <v>62</v>
      </c>
      <c r="F34" s="1" t="s">
        <v>60</v>
      </c>
      <c r="G34" s="1" t="s">
        <v>12</v>
      </c>
      <c r="H34" s="1" t="s">
        <v>15</v>
      </c>
      <c r="I34" s="4">
        <v>1</v>
      </c>
      <c r="J34" s="4">
        <f>VLOOKUP(H34,품목리스트!$B$5:$C$15,2,FALSE)</f>
        <v>60000</v>
      </c>
      <c r="K34" s="6">
        <f t="shared" si="0"/>
        <v>60000</v>
      </c>
      <c r="L34" s="6">
        <f t="shared" si="1"/>
        <v>66000</v>
      </c>
      <c r="M34" s="1" t="s">
        <v>41</v>
      </c>
      <c r="N34" s="1" t="s">
        <v>82</v>
      </c>
    </row>
    <row r="35" spans="1:14" ht="18" customHeight="1">
      <c r="A35" s="1">
        <v>29</v>
      </c>
      <c r="B35" s="1">
        <v>2022</v>
      </c>
      <c r="C35" s="1" t="s">
        <v>72</v>
      </c>
      <c r="D35" s="3">
        <v>44886</v>
      </c>
      <c r="E35" s="1" t="s">
        <v>62</v>
      </c>
      <c r="F35" s="1" t="s">
        <v>69</v>
      </c>
      <c r="G35" s="1" t="s">
        <v>6</v>
      </c>
      <c r="H35" s="1" t="s">
        <v>7</v>
      </c>
      <c r="I35" s="4">
        <v>46</v>
      </c>
      <c r="J35" s="4">
        <f>VLOOKUP(H35,품목리스트!$B$5:$C$15,2,FALSE)</f>
        <v>130000</v>
      </c>
      <c r="K35" s="6">
        <f t="shared" si="0"/>
        <v>5980000</v>
      </c>
      <c r="L35" s="6">
        <f t="shared" si="1"/>
        <v>6578000</v>
      </c>
      <c r="M35" s="1" t="s">
        <v>41</v>
      </c>
      <c r="N35" s="1" t="s">
        <v>83</v>
      </c>
    </row>
    <row r="36" spans="1:14" ht="18" customHeight="1">
      <c r="A36" s="1">
        <v>30</v>
      </c>
      <c r="B36" s="1">
        <v>2022</v>
      </c>
      <c r="C36" s="1" t="s">
        <v>72</v>
      </c>
      <c r="D36" s="3">
        <v>44877</v>
      </c>
      <c r="E36" s="1" t="s">
        <v>64</v>
      </c>
      <c r="F36" s="1" t="s">
        <v>54</v>
      </c>
      <c r="G36" s="1" t="s">
        <v>12</v>
      </c>
      <c r="H36" s="1" t="s">
        <v>15</v>
      </c>
      <c r="I36" s="4">
        <v>3</v>
      </c>
      <c r="J36" s="4">
        <f>VLOOKUP(H36,품목리스트!$B$5:$C$15,2,FALSE)</f>
        <v>60000</v>
      </c>
      <c r="K36" s="6">
        <f t="shared" si="0"/>
        <v>180000</v>
      </c>
      <c r="L36" s="6">
        <f t="shared" si="1"/>
        <v>198000</v>
      </c>
      <c r="M36" s="1" t="s">
        <v>38</v>
      </c>
      <c r="N36" s="1" t="s">
        <v>81</v>
      </c>
    </row>
    <row r="37" spans="1:14" ht="18" customHeight="1">
      <c r="A37" s="1">
        <v>31</v>
      </c>
      <c r="B37" s="1">
        <v>2022</v>
      </c>
      <c r="C37" s="1" t="s">
        <v>74</v>
      </c>
      <c r="D37" s="3">
        <v>44919</v>
      </c>
      <c r="E37" s="1" t="s">
        <v>43</v>
      </c>
      <c r="F37" s="1" t="s">
        <v>54</v>
      </c>
      <c r="G37" s="1" t="s">
        <v>6</v>
      </c>
      <c r="H37" s="1" t="s">
        <v>9</v>
      </c>
      <c r="I37" s="4">
        <v>43</v>
      </c>
      <c r="J37" s="4">
        <f>VLOOKUP(H37,품목리스트!$B$5:$C$15,2,FALSE)</f>
        <v>175000</v>
      </c>
      <c r="K37" s="6">
        <f t="shared" si="0"/>
        <v>7525000</v>
      </c>
      <c r="L37" s="6">
        <f t="shared" si="1"/>
        <v>8277500</v>
      </c>
      <c r="M37" s="1" t="s">
        <v>38</v>
      </c>
      <c r="N37" s="1" t="s">
        <v>81</v>
      </c>
    </row>
    <row r="38" spans="1:14" ht="18" customHeight="1">
      <c r="A38" s="1">
        <v>32</v>
      </c>
      <c r="B38" s="1">
        <v>2022</v>
      </c>
      <c r="C38" s="1" t="s">
        <v>74</v>
      </c>
      <c r="D38" s="3">
        <v>44910</v>
      </c>
      <c r="E38" s="1" t="s">
        <v>59</v>
      </c>
      <c r="F38" s="1" t="s">
        <v>73</v>
      </c>
      <c r="G38" s="1" t="s">
        <v>93</v>
      </c>
      <c r="H38" s="1" t="s">
        <v>10</v>
      </c>
      <c r="I38" s="4">
        <v>4</v>
      </c>
      <c r="J38" s="4">
        <f>VLOOKUP(H38,품목리스트!$B$5:$C$15,2,FALSE)</f>
        <v>4500000</v>
      </c>
      <c r="K38" s="6">
        <f t="shared" si="0"/>
        <v>18000000</v>
      </c>
      <c r="L38" s="6">
        <f t="shared" si="1"/>
        <v>19800000</v>
      </c>
      <c r="M38" s="1" t="s">
        <v>38</v>
      </c>
      <c r="N38" s="1" t="s">
        <v>81</v>
      </c>
    </row>
    <row r="39" spans="1:14" ht="18" customHeight="1">
      <c r="A39" s="1">
        <v>33</v>
      </c>
      <c r="B39" s="1">
        <v>2022</v>
      </c>
      <c r="C39" s="1" t="s">
        <v>74</v>
      </c>
      <c r="D39" s="3">
        <v>44898</v>
      </c>
      <c r="E39" s="1" t="s">
        <v>67</v>
      </c>
      <c r="F39" s="1" t="s">
        <v>49</v>
      </c>
      <c r="G39" s="1" t="s">
        <v>6</v>
      </c>
      <c r="H39" s="1" t="s">
        <v>7</v>
      </c>
      <c r="I39" s="4">
        <v>1</v>
      </c>
      <c r="J39" s="4">
        <f>VLOOKUP(H39,품목리스트!$B$5:$C$15,2,FALSE)</f>
        <v>130000</v>
      </c>
      <c r="K39" s="6">
        <f t="shared" ref="K39:K70" si="2">ROUND(I39*J39,0)</f>
        <v>130000</v>
      </c>
      <c r="L39" s="6">
        <f t="shared" ref="L39:L70" si="3">ROUND(K39*(1+$B$5),0)</f>
        <v>143000</v>
      </c>
      <c r="M39" s="1" t="s">
        <v>41</v>
      </c>
      <c r="N39" s="1" t="s">
        <v>82</v>
      </c>
    </row>
    <row r="40" spans="1:14" ht="18" customHeight="1">
      <c r="A40" s="1">
        <v>34</v>
      </c>
      <c r="B40" s="1">
        <v>2022</v>
      </c>
      <c r="C40" s="1" t="s">
        <v>74</v>
      </c>
      <c r="D40" s="3">
        <v>44914</v>
      </c>
      <c r="E40" s="1" t="s">
        <v>56</v>
      </c>
      <c r="F40" s="1" t="s">
        <v>49</v>
      </c>
      <c r="G40" s="1" t="s">
        <v>6</v>
      </c>
      <c r="H40" s="1" t="s">
        <v>7</v>
      </c>
      <c r="I40" s="4">
        <v>2</v>
      </c>
      <c r="J40" s="4">
        <f>VLOOKUP(H40,품목리스트!$B$5:$C$15,2,FALSE)</f>
        <v>130000</v>
      </c>
      <c r="K40" s="6">
        <f t="shared" si="2"/>
        <v>260000</v>
      </c>
      <c r="L40" s="6">
        <f t="shared" si="3"/>
        <v>286000</v>
      </c>
      <c r="M40" s="1" t="s">
        <v>41</v>
      </c>
      <c r="N40" s="1" t="s">
        <v>81</v>
      </c>
    </row>
    <row r="41" spans="1:14" ht="18" customHeight="1">
      <c r="A41" s="1">
        <v>35</v>
      </c>
      <c r="B41" s="1">
        <v>2023</v>
      </c>
      <c r="C41" s="1" t="s">
        <v>35</v>
      </c>
      <c r="D41" s="3">
        <v>44944</v>
      </c>
      <c r="E41" s="1" t="s">
        <v>46</v>
      </c>
      <c r="F41" s="1" t="s">
        <v>75</v>
      </c>
      <c r="G41" s="1" t="s">
        <v>12</v>
      </c>
      <c r="H41" s="1" t="s">
        <v>15</v>
      </c>
      <c r="I41" s="4">
        <v>53</v>
      </c>
      <c r="J41" s="4">
        <f>VLOOKUP(H41,품목리스트!$B$5:$C$15,2,FALSE)</f>
        <v>60000</v>
      </c>
      <c r="K41" s="6">
        <f t="shared" si="2"/>
        <v>3180000</v>
      </c>
      <c r="L41" s="6">
        <f t="shared" si="3"/>
        <v>3498000</v>
      </c>
      <c r="M41" s="1" t="s">
        <v>41</v>
      </c>
      <c r="N41" s="1" t="s">
        <v>81</v>
      </c>
    </row>
    <row r="42" spans="1:14" ht="18" customHeight="1">
      <c r="A42" s="1">
        <v>36</v>
      </c>
      <c r="B42" s="1">
        <v>2023</v>
      </c>
      <c r="C42" s="1" t="s">
        <v>35</v>
      </c>
      <c r="D42" s="3">
        <v>44946</v>
      </c>
      <c r="E42" s="1" t="s">
        <v>59</v>
      </c>
      <c r="F42" s="1" t="s">
        <v>73</v>
      </c>
      <c r="G42" s="1" t="s">
        <v>16</v>
      </c>
      <c r="H42" s="1" t="s">
        <v>17</v>
      </c>
      <c r="I42" s="4">
        <v>2</v>
      </c>
      <c r="J42" s="4">
        <f>VLOOKUP(H42,품목리스트!$B$5:$C$15,2,FALSE)</f>
        <v>180000</v>
      </c>
      <c r="K42" s="6">
        <f t="shared" si="2"/>
        <v>360000</v>
      </c>
      <c r="L42" s="6">
        <f t="shared" si="3"/>
        <v>396000</v>
      </c>
      <c r="M42" s="1" t="s">
        <v>38</v>
      </c>
      <c r="N42" s="1" t="s">
        <v>84</v>
      </c>
    </row>
    <row r="43" spans="1:14" ht="18" customHeight="1">
      <c r="A43" s="1">
        <v>37</v>
      </c>
      <c r="B43" s="1">
        <v>2023</v>
      </c>
      <c r="C43" s="1" t="s">
        <v>42</v>
      </c>
      <c r="D43" s="3">
        <v>44971</v>
      </c>
      <c r="E43" s="1" t="s">
        <v>36</v>
      </c>
      <c r="F43" s="1" t="s">
        <v>44</v>
      </c>
      <c r="G43" s="1" t="s">
        <v>6</v>
      </c>
      <c r="H43" s="1" t="s">
        <v>7</v>
      </c>
      <c r="I43" s="4">
        <v>50</v>
      </c>
      <c r="J43" s="4">
        <f>VLOOKUP(H43,품목리스트!$B$5:$C$15,2,FALSE)</f>
        <v>130000</v>
      </c>
      <c r="K43" s="6">
        <f t="shared" si="2"/>
        <v>6500000</v>
      </c>
      <c r="L43" s="6">
        <f t="shared" si="3"/>
        <v>7150000</v>
      </c>
      <c r="M43" s="1" t="s">
        <v>41</v>
      </c>
      <c r="N43" s="1" t="s">
        <v>82</v>
      </c>
    </row>
    <row r="44" spans="1:14" ht="18" customHeight="1">
      <c r="A44" s="1">
        <v>38</v>
      </c>
      <c r="B44" s="1">
        <v>2023</v>
      </c>
      <c r="C44" s="1" t="s">
        <v>42</v>
      </c>
      <c r="D44" s="3">
        <v>44978</v>
      </c>
      <c r="E44" s="1" t="s">
        <v>43</v>
      </c>
      <c r="F44" s="1" t="s">
        <v>71</v>
      </c>
      <c r="G44" s="1" t="s">
        <v>93</v>
      </c>
      <c r="H44" s="1" t="s">
        <v>91</v>
      </c>
      <c r="I44" s="4">
        <v>4</v>
      </c>
      <c r="J44" s="4">
        <f>VLOOKUP(H44,품목리스트!$B$5:$C$15,2,FALSE)</f>
        <v>5200000</v>
      </c>
      <c r="K44" s="6">
        <f t="shared" si="2"/>
        <v>20800000</v>
      </c>
      <c r="L44" s="6">
        <f t="shared" si="3"/>
        <v>22880000</v>
      </c>
      <c r="M44" s="1" t="s">
        <v>38</v>
      </c>
      <c r="N44" s="1" t="s">
        <v>84</v>
      </c>
    </row>
    <row r="45" spans="1:14" ht="18" customHeight="1">
      <c r="A45" s="1">
        <v>39</v>
      </c>
      <c r="B45" s="1">
        <v>2023</v>
      </c>
      <c r="C45" s="1" t="s">
        <v>42</v>
      </c>
      <c r="D45" s="3">
        <v>44960</v>
      </c>
      <c r="E45" s="1" t="s">
        <v>62</v>
      </c>
      <c r="F45" s="1" t="s">
        <v>47</v>
      </c>
      <c r="G45" s="1" t="s">
        <v>12</v>
      </c>
      <c r="H45" s="1" t="s">
        <v>14</v>
      </c>
      <c r="I45" s="4">
        <v>1</v>
      </c>
      <c r="J45" s="4">
        <f>VLOOKUP(H45,품목리스트!$B$5:$C$15,2,FALSE)</f>
        <v>4800000</v>
      </c>
      <c r="K45" s="6">
        <f t="shared" si="2"/>
        <v>4800000</v>
      </c>
      <c r="L45" s="6">
        <f t="shared" si="3"/>
        <v>5280000</v>
      </c>
      <c r="M45" s="1" t="s">
        <v>41</v>
      </c>
      <c r="N45" s="1" t="s">
        <v>83</v>
      </c>
    </row>
    <row r="46" spans="1:14" ht="18" customHeight="1">
      <c r="A46" s="1">
        <v>40</v>
      </c>
      <c r="B46" s="1">
        <v>2023</v>
      </c>
      <c r="C46" s="1" t="s">
        <v>50</v>
      </c>
      <c r="D46" s="3">
        <v>44993</v>
      </c>
      <c r="E46" s="1" t="s">
        <v>56</v>
      </c>
      <c r="F46" s="1" t="s">
        <v>66</v>
      </c>
      <c r="G46" s="1" t="s">
        <v>12</v>
      </c>
      <c r="H46" s="1" t="s">
        <v>15</v>
      </c>
      <c r="I46" s="4">
        <v>57</v>
      </c>
      <c r="J46" s="4">
        <f>VLOOKUP(H46,품목리스트!$B$5:$C$15,2,FALSE)</f>
        <v>60000</v>
      </c>
      <c r="K46" s="6">
        <f t="shared" si="2"/>
        <v>3420000</v>
      </c>
      <c r="L46" s="6">
        <f t="shared" si="3"/>
        <v>3762000</v>
      </c>
      <c r="M46" s="1" t="s">
        <v>41</v>
      </c>
      <c r="N46" s="1" t="s">
        <v>83</v>
      </c>
    </row>
    <row r="47" spans="1:14" ht="18" customHeight="1">
      <c r="A47" s="1">
        <v>41</v>
      </c>
      <c r="B47" s="1">
        <v>2023</v>
      </c>
      <c r="C47" s="1" t="s">
        <v>50</v>
      </c>
      <c r="D47" s="3">
        <v>44988</v>
      </c>
      <c r="E47" s="1" t="s">
        <v>46</v>
      </c>
      <c r="F47" s="1" t="s">
        <v>66</v>
      </c>
      <c r="G47" s="1" t="s">
        <v>6</v>
      </c>
      <c r="H47" s="1" t="s">
        <v>7</v>
      </c>
      <c r="I47" s="4">
        <v>3</v>
      </c>
      <c r="J47" s="4">
        <f>VLOOKUP(H47,품목리스트!$B$5:$C$15,2,FALSE)</f>
        <v>130000</v>
      </c>
      <c r="K47" s="6">
        <f t="shared" si="2"/>
        <v>390000</v>
      </c>
      <c r="L47" s="6">
        <f t="shared" si="3"/>
        <v>429000</v>
      </c>
      <c r="M47" s="1" t="s">
        <v>41</v>
      </c>
      <c r="N47" s="1" t="s">
        <v>84</v>
      </c>
    </row>
    <row r="48" spans="1:14" ht="18" customHeight="1">
      <c r="A48" s="1">
        <v>42</v>
      </c>
      <c r="B48" s="1">
        <v>2023</v>
      </c>
      <c r="C48" s="1" t="s">
        <v>50</v>
      </c>
      <c r="D48" s="3">
        <v>45001</v>
      </c>
      <c r="E48" s="1" t="s">
        <v>51</v>
      </c>
      <c r="F48" s="1" t="s">
        <v>40</v>
      </c>
      <c r="G48" s="1" t="s">
        <v>12</v>
      </c>
      <c r="H48" s="1" t="s">
        <v>14</v>
      </c>
      <c r="I48" s="4">
        <v>3</v>
      </c>
      <c r="J48" s="4">
        <f>VLOOKUP(H48,품목리스트!$B$5:$C$15,2,FALSE)</f>
        <v>4800000</v>
      </c>
      <c r="K48" s="6">
        <f t="shared" si="2"/>
        <v>14400000</v>
      </c>
      <c r="L48" s="6">
        <f t="shared" si="3"/>
        <v>15840000</v>
      </c>
      <c r="M48" s="1" t="s">
        <v>41</v>
      </c>
      <c r="N48" s="1" t="s">
        <v>83</v>
      </c>
    </row>
    <row r="49" spans="1:14" ht="18" customHeight="1">
      <c r="A49" s="1">
        <v>43</v>
      </c>
      <c r="B49" s="1">
        <v>2023</v>
      </c>
      <c r="C49" s="1" t="s">
        <v>53</v>
      </c>
      <c r="D49" s="3">
        <v>45024</v>
      </c>
      <c r="E49" s="1" t="s">
        <v>36</v>
      </c>
      <c r="F49" s="1" t="s">
        <v>37</v>
      </c>
      <c r="G49" s="1" t="s">
        <v>6</v>
      </c>
      <c r="H49" s="1" t="s">
        <v>7</v>
      </c>
      <c r="I49" s="4">
        <v>49</v>
      </c>
      <c r="J49" s="4">
        <f>VLOOKUP(H49,품목리스트!$B$5:$C$15,2,FALSE)</f>
        <v>130000</v>
      </c>
      <c r="K49" s="6">
        <f t="shared" si="2"/>
        <v>6370000</v>
      </c>
      <c r="L49" s="6">
        <f t="shared" si="3"/>
        <v>7007000</v>
      </c>
      <c r="M49" s="1" t="s">
        <v>38</v>
      </c>
      <c r="N49" s="1" t="s">
        <v>81</v>
      </c>
    </row>
    <row r="50" spans="1:14" ht="18" customHeight="1">
      <c r="A50" s="1">
        <v>44</v>
      </c>
      <c r="B50" s="1">
        <v>2023</v>
      </c>
      <c r="C50" s="1" t="s">
        <v>53</v>
      </c>
      <c r="D50" s="3">
        <v>45025</v>
      </c>
      <c r="E50" s="1" t="s">
        <v>43</v>
      </c>
      <c r="F50" s="1" t="s">
        <v>54</v>
      </c>
      <c r="G50" s="1" t="s">
        <v>93</v>
      </c>
      <c r="H50" s="1" t="s">
        <v>91</v>
      </c>
      <c r="I50" s="4">
        <v>3</v>
      </c>
      <c r="J50" s="4">
        <f>VLOOKUP(H50,품목리스트!$B$5:$C$15,2,FALSE)</f>
        <v>5200000</v>
      </c>
      <c r="K50" s="6">
        <f t="shared" si="2"/>
        <v>15600000</v>
      </c>
      <c r="L50" s="6">
        <f t="shared" si="3"/>
        <v>17160000</v>
      </c>
      <c r="M50" s="1" t="s">
        <v>38</v>
      </c>
      <c r="N50" s="1" t="s">
        <v>84</v>
      </c>
    </row>
    <row r="51" spans="1:14" ht="18" customHeight="1">
      <c r="A51" s="1">
        <v>45</v>
      </c>
      <c r="B51" s="1">
        <v>2023</v>
      </c>
      <c r="C51" s="1" t="s">
        <v>53</v>
      </c>
      <c r="D51" s="3">
        <v>45020</v>
      </c>
      <c r="E51" s="1" t="s">
        <v>67</v>
      </c>
      <c r="F51" s="1" t="s">
        <v>71</v>
      </c>
      <c r="G51" s="1" t="s">
        <v>93</v>
      </c>
      <c r="H51" s="1" t="s">
        <v>11</v>
      </c>
      <c r="I51" s="4">
        <v>1</v>
      </c>
      <c r="J51" s="4">
        <f>VLOOKUP(H51,품목리스트!$B$5:$C$15,2,FALSE)</f>
        <v>6000000</v>
      </c>
      <c r="K51" s="6">
        <f t="shared" si="2"/>
        <v>6000000</v>
      </c>
      <c r="L51" s="6">
        <f t="shared" si="3"/>
        <v>6600000</v>
      </c>
      <c r="M51" s="1" t="s">
        <v>38</v>
      </c>
      <c r="N51" s="1" t="s">
        <v>84</v>
      </c>
    </row>
    <row r="52" spans="1:14" ht="18" customHeight="1">
      <c r="A52" s="1">
        <v>46</v>
      </c>
      <c r="B52" s="1">
        <v>2023</v>
      </c>
      <c r="C52" s="1" t="s">
        <v>58</v>
      </c>
      <c r="D52" s="3">
        <v>45050</v>
      </c>
      <c r="E52" s="1" t="s">
        <v>62</v>
      </c>
      <c r="F52" s="1" t="s">
        <v>40</v>
      </c>
      <c r="G52" s="1" t="s">
        <v>93</v>
      </c>
      <c r="H52" s="1" t="s">
        <v>91</v>
      </c>
      <c r="I52" s="4">
        <v>63</v>
      </c>
      <c r="J52" s="4">
        <f>VLOOKUP(H52,품목리스트!$B$5:$C$15,2,FALSE)</f>
        <v>5200000</v>
      </c>
      <c r="K52" s="6">
        <f t="shared" si="2"/>
        <v>327600000</v>
      </c>
      <c r="L52" s="6">
        <f t="shared" si="3"/>
        <v>360360000</v>
      </c>
      <c r="M52" s="1" t="s">
        <v>41</v>
      </c>
      <c r="N52" s="1" t="s">
        <v>84</v>
      </c>
    </row>
    <row r="53" spans="1:14" ht="18" customHeight="1">
      <c r="A53" s="1">
        <v>47</v>
      </c>
      <c r="B53" s="1">
        <v>2023</v>
      </c>
      <c r="C53" s="1" t="s">
        <v>58</v>
      </c>
      <c r="D53" s="3">
        <v>45061</v>
      </c>
      <c r="E53" s="1" t="s">
        <v>64</v>
      </c>
      <c r="F53" s="1" t="s">
        <v>76</v>
      </c>
      <c r="G53" s="1" t="s">
        <v>12</v>
      </c>
      <c r="H53" s="1" t="s">
        <v>14</v>
      </c>
      <c r="I53" s="4">
        <v>3</v>
      </c>
      <c r="J53" s="4">
        <f>VLOOKUP(H53,품목리스트!$B$5:$C$15,2,FALSE)</f>
        <v>4800000</v>
      </c>
      <c r="K53" s="6">
        <f t="shared" si="2"/>
        <v>14400000</v>
      </c>
      <c r="L53" s="6">
        <f t="shared" si="3"/>
        <v>15840000</v>
      </c>
      <c r="M53" s="1" t="s">
        <v>41</v>
      </c>
      <c r="N53" s="1" t="s">
        <v>82</v>
      </c>
    </row>
    <row r="54" spans="1:14" ht="18" customHeight="1">
      <c r="A54" s="1">
        <v>48</v>
      </c>
      <c r="B54" s="1">
        <v>2023</v>
      </c>
      <c r="C54" s="1" t="s">
        <v>61</v>
      </c>
      <c r="D54" s="3">
        <v>45097</v>
      </c>
      <c r="E54" s="1" t="s">
        <v>59</v>
      </c>
      <c r="F54" s="1" t="s">
        <v>76</v>
      </c>
      <c r="G54" s="1" t="s">
        <v>12</v>
      </c>
      <c r="H54" s="1" t="s">
        <v>14</v>
      </c>
      <c r="I54" s="4">
        <v>46</v>
      </c>
      <c r="J54" s="4">
        <f>VLOOKUP(H54,품목리스트!$B$5:$C$15,2,FALSE)</f>
        <v>4800000</v>
      </c>
      <c r="K54" s="6">
        <f t="shared" si="2"/>
        <v>220800000</v>
      </c>
      <c r="L54" s="6">
        <f t="shared" si="3"/>
        <v>242880000</v>
      </c>
      <c r="M54" s="1" t="s">
        <v>41</v>
      </c>
      <c r="N54" s="1" t="s">
        <v>82</v>
      </c>
    </row>
    <row r="55" spans="1:14" ht="18" customHeight="1">
      <c r="A55" s="1">
        <v>49</v>
      </c>
      <c r="B55" s="1">
        <v>2023</v>
      </c>
      <c r="C55" s="1" t="s">
        <v>61</v>
      </c>
      <c r="D55" s="3">
        <v>45097</v>
      </c>
      <c r="E55" s="1" t="s">
        <v>46</v>
      </c>
      <c r="F55" s="1" t="s">
        <v>44</v>
      </c>
      <c r="G55" s="1" t="s">
        <v>6</v>
      </c>
      <c r="H55" s="1" t="s">
        <v>7</v>
      </c>
      <c r="I55" s="4">
        <v>3</v>
      </c>
      <c r="J55" s="4">
        <f>VLOOKUP(H55,품목리스트!$B$5:$C$15,2,FALSE)</f>
        <v>130000</v>
      </c>
      <c r="K55" s="6">
        <f t="shared" si="2"/>
        <v>390000</v>
      </c>
      <c r="L55" s="6">
        <f t="shared" si="3"/>
        <v>429000</v>
      </c>
      <c r="M55" s="1" t="s">
        <v>41</v>
      </c>
      <c r="N55" s="1" t="s">
        <v>84</v>
      </c>
    </row>
    <row r="56" spans="1:14" ht="18" customHeight="1">
      <c r="A56" s="1">
        <v>50</v>
      </c>
      <c r="B56" s="1">
        <v>2023</v>
      </c>
      <c r="C56" s="1" t="s">
        <v>61</v>
      </c>
      <c r="D56" s="3">
        <v>45083</v>
      </c>
      <c r="E56" s="1" t="s">
        <v>62</v>
      </c>
      <c r="F56" s="1" t="s">
        <v>76</v>
      </c>
      <c r="G56" s="1" t="s">
        <v>6</v>
      </c>
      <c r="H56" s="1" t="s">
        <v>9</v>
      </c>
      <c r="I56" s="4">
        <v>1</v>
      </c>
      <c r="J56" s="4">
        <f>VLOOKUP(H56,품목리스트!$B$5:$C$15,2,FALSE)</f>
        <v>175000</v>
      </c>
      <c r="K56" s="6">
        <f t="shared" si="2"/>
        <v>175000</v>
      </c>
      <c r="L56" s="6">
        <f t="shared" si="3"/>
        <v>192500</v>
      </c>
      <c r="M56" s="1" t="s">
        <v>41</v>
      </c>
      <c r="N56" s="1" t="s">
        <v>84</v>
      </c>
    </row>
    <row r="57" spans="1:14" ht="18" customHeight="1">
      <c r="A57" s="1">
        <v>51</v>
      </c>
      <c r="B57" s="1">
        <v>2023</v>
      </c>
      <c r="C57" s="1" t="s">
        <v>61</v>
      </c>
      <c r="D57" s="3">
        <v>45080</v>
      </c>
      <c r="E57" s="1" t="s">
        <v>43</v>
      </c>
      <c r="F57" s="1" t="s">
        <v>73</v>
      </c>
      <c r="G57" s="1" t="s">
        <v>12</v>
      </c>
      <c r="H57" s="1" t="s">
        <v>15</v>
      </c>
      <c r="I57" s="4">
        <v>2</v>
      </c>
      <c r="J57" s="4">
        <f>VLOOKUP(H57,품목리스트!$B$5:$C$15,2,FALSE)</f>
        <v>60000</v>
      </c>
      <c r="K57" s="6">
        <f t="shared" si="2"/>
        <v>120000</v>
      </c>
      <c r="L57" s="6">
        <f t="shared" si="3"/>
        <v>132000</v>
      </c>
      <c r="M57" s="1" t="s">
        <v>38</v>
      </c>
      <c r="N57" s="1" t="s">
        <v>82</v>
      </c>
    </row>
    <row r="58" spans="1:14" ht="18" customHeight="1">
      <c r="A58" s="1">
        <v>52</v>
      </c>
      <c r="B58" s="1">
        <v>2023</v>
      </c>
      <c r="C58" s="1" t="s">
        <v>63</v>
      </c>
      <c r="D58" s="3">
        <v>45128</v>
      </c>
      <c r="E58" s="1" t="s">
        <v>43</v>
      </c>
      <c r="F58" s="1" t="s">
        <v>73</v>
      </c>
      <c r="G58" s="1" t="s">
        <v>16</v>
      </c>
      <c r="H58" s="1" t="s">
        <v>18</v>
      </c>
      <c r="I58" s="4">
        <v>54</v>
      </c>
      <c r="J58" s="4">
        <f>VLOOKUP(H58,품목리스트!$B$5:$C$15,2,FALSE)</f>
        <v>240000</v>
      </c>
      <c r="K58" s="6">
        <f t="shared" si="2"/>
        <v>12960000</v>
      </c>
      <c r="L58" s="6">
        <f t="shared" si="3"/>
        <v>14256000</v>
      </c>
      <c r="M58" s="1" t="s">
        <v>38</v>
      </c>
      <c r="N58" s="1" t="s">
        <v>84</v>
      </c>
    </row>
    <row r="59" spans="1:14" ht="18" customHeight="1">
      <c r="A59" s="1">
        <v>53</v>
      </c>
      <c r="B59" s="1">
        <v>2023</v>
      </c>
      <c r="C59" s="1" t="s">
        <v>63</v>
      </c>
      <c r="D59" s="3">
        <v>45110</v>
      </c>
      <c r="E59" s="1" t="s">
        <v>59</v>
      </c>
      <c r="F59" s="1" t="s">
        <v>57</v>
      </c>
      <c r="G59" s="1" t="s">
        <v>93</v>
      </c>
      <c r="H59" s="1" t="s">
        <v>11</v>
      </c>
      <c r="I59" s="4">
        <v>3</v>
      </c>
      <c r="J59" s="4">
        <f>VLOOKUP(H59,품목리스트!$B$5:$C$15,2,FALSE)</f>
        <v>6000000</v>
      </c>
      <c r="K59" s="6">
        <f t="shared" si="2"/>
        <v>18000000</v>
      </c>
      <c r="L59" s="6">
        <f t="shared" si="3"/>
        <v>19800000</v>
      </c>
      <c r="M59" s="1" t="s">
        <v>38</v>
      </c>
      <c r="N59" s="1" t="s">
        <v>81</v>
      </c>
    </row>
    <row r="60" spans="1:14" ht="18" customHeight="1">
      <c r="A60" s="1">
        <v>54</v>
      </c>
      <c r="B60" s="1">
        <v>2023</v>
      </c>
      <c r="C60" s="1" t="s">
        <v>65</v>
      </c>
      <c r="D60" s="3">
        <v>45145</v>
      </c>
      <c r="E60" s="1" t="s">
        <v>51</v>
      </c>
      <c r="F60" s="1" t="s">
        <v>77</v>
      </c>
      <c r="G60" s="1" t="s">
        <v>6</v>
      </c>
      <c r="H60" s="1" t="s">
        <v>9</v>
      </c>
      <c r="I60" s="4">
        <v>54</v>
      </c>
      <c r="J60" s="4">
        <f>VLOOKUP(H60,품목리스트!$B$5:$C$15,2,FALSE)</f>
        <v>175000</v>
      </c>
      <c r="K60" s="6">
        <f t="shared" si="2"/>
        <v>9450000</v>
      </c>
      <c r="L60" s="6">
        <f t="shared" si="3"/>
        <v>10395000</v>
      </c>
      <c r="M60" s="1" t="s">
        <v>38</v>
      </c>
      <c r="N60" s="1" t="s">
        <v>81</v>
      </c>
    </row>
    <row r="61" spans="1:14" ht="18" customHeight="1">
      <c r="A61" s="1">
        <v>55</v>
      </c>
      <c r="B61" s="1">
        <v>2023</v>
      </c>
      <c r="C61" s="1" t="s">
        <v>65</v>
      </c>
      <c r="D61" s="3">
        <v>45154</v>
      </c>
      <c r="E61" s="1" t="s">
        <v>64</v>
      </c>
      <c r="F61" s="1" t="s">
        <v>66</v>
      </c>
      <c r="G61" s="1" t="s">
        <v>12</v>
      </c>
      <c r="H61" s="1" t="s">
        <v>13</v>
      </c>
      <c r="I61" s="4">
        <v>3</v>
      </c>
      <c r="J61" s="4">
        <f>VLOOKUP(H61,품목리스트!$B$5:$C$15,2,FALSE)</f>
        <v>4200000</v>
      </c>
      <c r="K61" s="6">
        <f t="shared" si="2"/>
        <v>12600000</v>
      </c>
      <c r="L61" s="6">
        <f t="shared" si="3"/>
        <v>13860000</v>
      </c>
      <c r="M61" s="1" t="s">
        <v>41</v>
      </c>
      <c r="N61" s="1" t="s">
        <v>81</v>
      </c>
    </row>
    <row r="62" spans="1:14" ht="18" customHeight="1">
      <c r="A62" s="1">
        <v>56</v>
      </c>
      <c r="B62" s="1">
        <v>2023</v>
      </c>
      <c r="C62" s="1" t="s">
        <v>65</v>
      </c>
      <c r="D62" s="3">
        <v>45163</v>
      </c>
      <c r="E62" s="1" t="s">
        <v>46</v>
      </c>
      <c r="F62" s="1" t="s">
        <v>66</v>
      </c>
      <c r="G62" s="1" t="s">
        <v>93</v>
      </c>
      <c r="H62" s="1" t="s">
        <v>91</v>
      </c>
      <c r="I62" s="4">
        <v>1</v>
      </c>
      <c r="J62" s="4">
        <f>VLOOKUP(H62,품목리스트!$B$5:$C$15,2,FALSE)</f>
        <v>5200000</v>
      </c>
      <c r="K62" s="6">
        <f t="shared" si="2"/>
        <v>5200000</v>
      </c>
      <c r="L62" s="6">
        <f t="shared" si="3"/>
        <v>5720000</v>
      </c>
      <c r="M62" s="1" t="s">
        <v>41</v>
      </c>
      <c r="N62" s="1" t="s">
        <v>83</v>
      </c>
    </row>
    <row r="63" spans="1:14" ht="18" customHeight="1">
      <c r="A63" s="1">
        <v>57</v>
      </c>
      <c r="B63" s="1">
        <v>2023</v>
      </c>
      <c r="C63" s="1" t="s">
        <v>68</v>
      </c>
      <c r="D63" s="3">
        <v>45175</v>
      </c>
      <c r="E63" s="1" t="s">
        <v>67</v>
      </c>
      <c r="F63" s="1" t="s">
        <v>73</v>
      </c>
      <c r="G63" s="1" t="s">
        <v>16</v>
      </c>
      <c r="H63" s="1" t="s">
        <v>17</v>
      </c>
      <c r="I63" s="4">
        <v>60</v>
      </c>
      <c r="J63" s="4">
        <f>VLOOKUP(H63,품목리스트!$B$5:$C$15,2,FALSE)</f>
        <v>180000</v>
      </c>
      <c r="K63" s="6">
        <f t="shared" si="2"/>
        <v>10800000</v>
      </c>
      <c r="L63" s="6">
        <f t="shared" si="3"/>
        <v>11880000</v>
      </c>
      <c r="M63" s="1" t="s">
        <v>38</v>
      </c>
      <c r="N63" s="1" t="s">
        <v>82</v>
      </c>
    </row>
    <row r="64" spans="1:14" ht="18" customHeight="1">
      <c r="A64" s="1">
        <v>58</v>
      </c>
      <c r="B64" s="1">
        <v>2023</v>
      </c>
      <c r="C64" s="1" t="s">
        <v>68</v>
      </c>
      <c r="D64" s="3">
        <v>45187</v>
      </c>
      <c r="E64" s="1" t="s">
        <v>64</v>
      </c>
      <c r="F64" s="1" t="s">
        <v>73</v>
      </c>
      <c r="G64" s="1" t="s">
        <v>93</v>
      </c>
      <c r="H64" s="1" t="s">
        <v>91</v>
      </c>
      <c r="I64" s="4">
        <v>3</v>
      </c>
      <c r="J64" s="4">
        <f>VLOOKUP(H64,품목리스트!$B$5:$C$15,2,FALSE)</f>
        <v>5200000</v>
      </c>
      <c r="K64" s="6">
        <f t="shared" si="2"/>
        <v>15600000</v>
      </c>
      <c r="L64" s="6">
        <f t="shared" si="3"/>
        <v>17160000</v>
      </c>
      <c r="M64" s="1" t="s">
        <v>38</v>
      </c>
      <c r="N64" s="1" t="s">
        <v>82</v>
      </c>
    </row>
    <row r="65" spans="1:14" ht="18" customHeight="1">
      <c r="A65" s="1">
        <v>59</v>
      </c>
      <c r="B65" s="1">
        <v>2023</v>
      </c>
      <c r="C65" s="1" t="s">
        <v>68</v>
      </c>
      <c r="D65" s="3">
        <v>45182</v>
      </c>
      <c r="E65" s="1" t="s">
        <v>62</v>
      </c>
      <c r="F65" s="1" t="s">
        <v>52</v>
      </c>
      <c r="G65" s="1" t="s">
        <v>16</v>
      </c>
      <c r="H65" s="1" t="s">
        <v>17</v>
      </c>
      <c r="I65" s="4">
        <v>3</v>
      </c>
      <c r="J65" s="4">
        <f>VLOOKUP(H65,품목리스트!$B$5:$C$15,2,FALSE)</f>
        <v>180000</v>
      </c>
      <c r="K65" s="6">
        <f t="shared" si="2"/>
        <v>540000</v>
      </c>
      <c r="L65" s="6">
        <f t="shared" si="3"/>
        <v>594000</v>
      </c>
      <c r="M65" s="1" t="s">
        <v>41</v>
      </c>
      <c r="N65" s="1" t="s">
        <v>83</v>
      </c>
    </row>
    <row r="66" spans="1:14" ht="18" customHeight="1">
      <c r="A66" s="1">
        <v>60</v>
      </c>
      <c r="B66" s="1">
        <v>2023</v>
      </c>
      <c r="C66" s="1" t="s">
        <v>70</v>
      </c>
      <c r="D66" s="3">
        <v>45219</v>
      </c>
      <c r="E66" s="1" t="s">
        <v>59</v>
      </c>
      <c r="F66" s="1" t="s">
        <v>40</v>
      </c>
      <c r="G66" s="1" t="s">
        <v>16</v>
      </c>
      <c r="H66" s="1" t="s">
        <v>18</v>
      </c>
      <c r="I66" s="4">
        <v>49</v>
      </c>
      <c r="J66" s="4">
        <f>VLOOKUP(H66,품목리스트!$B$5:$C$15,2,FALSE)</f>
        <v>240000</v>
      </c>
      <c r="K66" s="6">
        <f t="shared" si="2"/>
        <v>11760000</v>
      </c>
      <c r="L66" s="6">
        <f t="shared" si="3"/>
        <v>12936000</v>
      </c>
      <c r="M66" s="1" t="s">
        <v>41</v>
      </c>
      <c r="N66" s="1" t="s">
        <v>83</v>
      </c>
    </row>
    <row r="67" spans="1:14" ht="18" customHeight="1">
      <c r="A67" s="1">
        <v>61</v>
      </c>
      <c r="B67" s="1">
        <v>2023</v>
      </c>
      <c r="C67" s="1" t="s">
        <v>70</v>
      </c>
      <c r="D67" s="3">
        <v>45220</v>
      </c>
      <c r="E67" s="1" t="s">
        <v>46</v>
      </c>
      <c r="F67" s="1" t="s">
        <v>73</v>
      </c>
      <c r="G67" s="1" t="s">
        <v>12</v>
      </c>
      <c r="H67" s="1" t="s">
        <v>14</v>
      </c>
      <c r="I67" s="4">
        <v>3</v>
      </c>
      <c r="J67" s="4">
        <f>VLOOKUP(H67,품목리스트!$B$5:$C$15,2,FALSE)</f>
        <v>4800000</v>
      </c>
      <c r="K67" s="6">
        <f t="shared" si="2"/>
        <v>14400000</v>
      </c>
      <c r="L67" s="6">
        <f t="shared" si="3"/>
        <v>15840000</v>
      </c>
      <c r="M67" s="1" t="s">
        <v>38</v>
      </c>
      <c r="N67" s="1" t="s">
        <v>84</v>
      </c>
    </row>
    <row r="68" spans="1:14" ht="18" customHeight="1">
      <c r="A68" s="1">
        <v>62</v>
      </c>
      <c r="B68" s="1">
        <v>2023</v>
      </c>
      <c r="C68" s="1" t="s">
        <v>70</v>
      </c>
      <c r="D68" s="3">
        <v>45205</v>
      </c>
      <c r="E68" s="1" t="s">
        <v>36</v>
      </c>
      <c r="F68" s="1" t="s">
        <v>71</v>
      </c>
      <c r="G68" s="1" t="s">
        <v>6</v>
      </c>
      <c r="H68" s="1" t="s">
        <v>9</v>
      </c>
      <c r="I68" s="4">
        <v>1</v>
      </c>
      <c r="J68" s="4">
        <f>VLOOKUP(H68,품목리스트!$B$5:$C$15,2,FALSE)</f>
        <v>175000</v>
      </c>
      <c r="K68" s="6">
        <f t="shared" si="2"/>
        <v>175000</v>
      </c>
      <c r="L68" s="6">
        <f t="shared" si="3"/>
        <v>192500</v>
      </c>
      <c r="M68" s="1" t="s">
        <v>38</v>
      </c>
      <c r="N68" s="1" t="s">
        <v>82</v>
      </c>
    </row>
    <row r="69" spans="1:14" ht="18" customHeight="1">
      <c r="A69" s="1">
        <v>63</v>
      </c>
      <c r="B69" s="1">
        <v>2023</v>
      </c>
      <c r="C69" s="1" t="s">
        <v>72</v>
      </c>
      <c r="D69" s="3">
        <v>45248</v>
      </c>
      <c r="E69" s="1" t="s">
        <v>46</v>
      </c>
      <c r="F69" s="1" t="s">
        <v>57</v>
      </c>
      <c r="G69" s="1" t="s">
        <v>93</v>
      </c>
      <c r="H69" s="1" t="s">
        <v>10</v>
      </c>
      <c r="I69" s="4">
        <v>54</v>
      </c>
      <c r="J69" s="4">
        <f>VLOOKUP(H69,품목리스트!$B$5:$C$15,2,FALSE)</f>
        <v>4500000</v>
      </c>
      <c r="K69" s="6">
        <f t="shared" si="2"/>
        <v>243000000</v>
      </c>
      <c r="L69" s="6">
        <f t="shared" si="3"/>
        <v>267300000</v>
      </c>
      <c r="M69" s="1" t="s">
        <v>38</v>
      </c>
      <c r="N69" s="1" t="s">
        <v>83</v>
      </c>
    </row>
    <row r="70" spans="1:14" ht="18" customHeight="1">
      <c r="A70" s="1">
        <v>64</v>
      </c>
      <c r="B70" s="1">
        <v>2023</v>
      </c>
      <c r="C70" s="1" t="s">
        <v>72</v>
      </c>
      <c r="D70" s="3">
        <v>45251</v>
      </c>
      <c r="E70" s="1" t="s">
        <v>62</v>
      </c>
      <c r="F70" s="1" t="s">
        <v>76</v>
      </c>
      <c r="G70" s="1" t="s">
        <v>6</v>
      </c>
      <c r="H70" s="1" t="s">
        <v>9</v>
      </c>
      <c r="I70" s="4">
        <v>4</v>
      </c>
      <c r="J70" s="4">
        <f>VLOOKUP(H70,품목리스트!$B$5:$C$15,2,FALSE)</f>
        <v>175000</v>
      </c>
      <c r="K70" s="6">
        <f t="shared" si="2"/>
        <v>700000</v>
      </c>
      <c r="L70" s="6">
        <f t="shared" si="3"/>
        <v>770000</v>
      </c>
      <c r="M70" s="1" t="s">
        <v>41</v>
      </c>
      <c r="N70" s="1" t="s">
        <v>83</v>
      </c>
    </row>
    <row r="71" spans="1:14" ht="18" customHeight="1">
      <c r="A71" s="1">
        <v>65</v>
      </c>
      <c r="B71" s="1">
        <v>2023</v>
      </c>
      <c r="C71" s="1" t="s">
        <v>74</v>
      </c>
      <c r="D71" s="3">
        <v>45280</v>
      </c>
      <c r="E71" s="1" t="s">
        <v>62</v>
      </c>
      <c r="F71" s="1" t="s">
        <v>66</v>
      </c>
      <c r="G71" s="1" t="s">
        <v>93</v>
      </c>
      <c r="H71" s="1" t="s">
        <v>10</v>
      </c>
      <c r="I71" s="4">
        <v>53</v>
      </c>
      <c r="J71" s="4">
        <f>VLOOKUP(H71,품목리스트!$B$5:$C$15,2,FALSE)</f>
        <v>4500000</v>
      </c>
      <c r="K71" s="6">
        <f t="shared" ref="K71:K102" si="4">ROUND(I71*J71,0)</f>
        <v>238500000</v>
      </c>
      <c r="L71" s="6">
        <f t="shared" ref="L71:L102" si="5">ROUND(K71*(1+$B$5),0)</f>
        <v>262350000</v>
      </c>
      <c r="M71" s="1" t="s">
        <v>41</v>
      </c>
      <c r="N71" s="1" t="s">
        <v>81</v>
      </c>
    </row>
    <row r="72" spans="1:14" ht="18" customHeight="1">
      <c r="A72" s="1">
        <v>66</v>
      </c>
      <c r="B72" s="1">
        <v>2023</v>
      </c>
      <c r="C72" s="1" t="s">
        <v>74</v>
      </c>
      <c r="D72" s="3">
        <v>45279</v>
      </c>
      <c r="E72" s="1" t="s">
        <v>56</v>
      </c>
      <c r="F72" s="1" t="s">
        <v>44</v>
      </c>
      <c r="G72" s="1" t="s">
        <v>93</v>
      </c>
      <c r="H72" s="1" t="s">
        <v>11</v>
      </c>
      <c r="I72" s="4">
        <v>3</v>
      </c>
      <c r="J72" s="4">
        <f>VLOOKUP(H72,품목리스트!$B$5:$C$15,2,FALSE)</f>
        <v>6000000</v>
      </c>
      <c r="K72" s="6">
        <f t="shared" si="4"/>
        <v>18000000</v>
      </c>
      <c r="L72" s="6">
        <f t="shared" si="5"/>
        <v>19800000</v>
      </c>
      <c r="M72" s="1" t="s">
        <v>41</v>
      </c>
      <c r="N72" s="1" t="s">
        <v>81</v>
      </c>
    </row>
    <row r="73" spans="1:14" ht="18" customHeight="1">
      <c r="A73" s="1">
        <v>67</v>
      </c>
      <c r="B73" s="1">
        <v>2023</v>
      </c>
      <c r="C73" s="1" t="s">
        <v>74</v>
      </c>
      <c r="D73" s="3">
        <v>45280</v>
      </c>
      <c r="E73" s="1" t="s">
        <v>51</v>
      </c>
      <c r="F73" s="1" t="s">
        <v>40</v>
      </c>
      <c r="G73" s="1" t="s">
        <v>6</v>
      </c>
      <c r="H73" s="1" t="s">
        <v>9</v>
      </c>
      <c r="I73" s="4">
        <v>1</v>
      </c>
      <c r="J73" s="4">
        <f>VLOOKUP(H73,품목리스트!$B$5:$C$15,2,FALSE)</f>
        <v>175000</v>
      </c>
      <c r="K73" s="6">
        <f t="shared" si="4"/>
        <v>175000</v>
      </c>
      <c r="L73" s="6">
        <f t="shared" si="5"/>
        <v>192500</v>
      </c>
      <c r="M73" s="1" t="s">
        <v>41</v>
      </c>
      <c r="N73" s="1" t="s">
        <v>82</v>
      </c>
    </row>
    <row r="74" spans="1:14" ht="18" customHeight="1">
      <c r="A74" s="1">
        <v>68</v>
      </c>
      <c r="B74" s="1">
        <v>2023</v>
      </c>
      <c r="C74" s="1" t="s">
        <v>74</v>
      </c>
      <c r="D74" s="3">
        <v>45275</v>
      </c>
      <c r="E74" s="1" t="s">
        <v>56</v>
      </c>
      <c r="F74" s="1" t="s">
        <v>75</v>
      </c>
      <c r="G74" s="1" t="s">
        <v>6</v>
      </c>
      <c r="H74" s="1" t="s">
        <v>7</v>
      </c>
      <c r="I74" s="4">
        <v>3</v>
      </c>
      <c r="J74" s="4">
        <f>VLOOKUP(H74,품목리스트!$B$5:$C$15,2,FALSE)</f>
        <v>130000</v>
      </c>
      <c r="K74" s="6">
        <f t="shared" si="4"/>
        <v>390000</v>
      </c>
      <c r="L74" s="6">
        <f t="shared" si="5"/>
        <v>429000</v>
      </c>
      <c r="M74" s="1" t="s">
        <v>41</v>
      </c>
      <c r="N74" s="1" t="s">
        <v>81</v>
      </c>
    </row>
    <row r="75" spans="1:14" ht="18" customHeight="1">
      <c r="A75" s="1">
        <v>69</v>
      </c>
      <c r="B75" s="1">
        <v>2024</v>
      </c>
      <c r="C75" s="1" t="s">
        <v>35</v>
      </c>
      <c r="D75" s="3">
        <v>45305</v>
      </c>
      <c r="E75" s="1" t="s">
        <v>46</v>
      </c>
      <c r="F75" s="1" t="s">
        <v>57</v>
      </c>
      <c r="G75" s="1" t="s">
        <v>16</v>
      </c>
      <c r="H75" s="1" t="s">
        <v>17</v>
      </c>
      <c r="I75" s="4">
        <v>46</v>
      </c>
      <c r="J75" s="4">
        <f>VLOOKUP(H75,품목리스트!$B$5:$C$15,2,FALSE)</f>
        <v>180000</v>
      </c>
      <c r="K75" s="6">
        <f t="shared" si="4"/>
        <v>8280000</v>
      </c>
      <c r="L75" s="6">
        <f t="shared" si="5"/>
        <v>9108000</v>
      </c>
      <c r="M75" s="1" t="s">
        <v>38</v>
      </c>
      <c r="N75" s="1" t="s">
        <v>81</v>
      </c>
    </row>
    <row r="76" spans="1:14" ht="18" customHeight="1">
      <c r="A76" s="1">
        <v>70</v>
      </c>
      <c r="B76" s="1">
        <v>2024</v>
      </c>
      <c r="C76" s="1" t="s">
        <v>35</v>
      </c>
      <c r="D76" s="3">
        <v>45315</v>
      </c>
      <c r="E76" s="1" t="s">
        <v>36</v>
      </c>
      <c r="F76" s="1" t="s">
        <v>37</v>
      </c>
      <c r="G76" s="1" t="s">
        <v>93</v>
      </c>
      <c r="H76" s="1" t="s">
        <v>91</v>
      </c>
      <c r="I76" s="4">
        <v>3</v>
      </c>
      <c r="J76" s="4">
        <f>VLOOKUP(H76,품목리스트!$B$5:$C$15,2,FALSE)</f>
        <v>5200000</v>
      </c>
      <c r="K76" s="6">
        <f t="shared" si="4"/>
        <v>15600000</v>
      </c>
      <c r="L76" s="6">
        <f t="shared" si="5"/>
        <v>17160000</v>
      </c>
      <c r="M76" s="1" t="s">
        <v>38</v>
      </c>
      <c r="N76" s="1" t="s">
        <v>84</v>
      </c>
    </row>
    <row r="77" spans="1:14" ht="18" customHeight="1">
      <c r="A77" s="1">
        <v>71</v>
      </c>
      <c r="B77" s="1">
        <v>2024</v>
      </c>
      <c r="C77" s="1" t="s">
        <v>42</v>
      </c>
      <c r="D77" s="3">
        <v>45330</v>
      </c>
      <c r="E77" s="1" t="s">
        <v>51</v>
      </c>
      <c r="F77" s="1" t="s">
        <v>60</v>
      </c>
      <c r="G77" s="1" t="s">
        <v>93</v>
      </c>
      <c r="H77" s="1" t="s">
        <v>11</v>
      </c>
      <c r="I77" s="4">
        <v>56</v>
      </c>
      <c r="J77" s="4">
        <f>VLOOKUP(H77,품목리스트!$B$5:$C$15,2,FALSE)</f>
        <v>6000000</v>
      </c>
      <c r="K77" s="6">
        <f t="shared" si="4"/>
        <v>336000000</v>
      </c>
      <c r="L77" s="6">
        <f t="shared" si="5"/>
        <v>369600000</v>
      </c>
      <c r="M77" s="1" t="s">
        <v>41</v>
      </c>
      <c r="N77" s="1" t="s">
        <v>81</v>
      </c>
    </row>
    <row r="78" spans="1:14" ht="18" customHeight="1">
      <c r="A78" s="1">
        <v>72</v>
      </c>
      <c r="B78" s="1">
        <v>2024</v>
      </c>
      <c r="C78" s="1" t="s">
        <v>42</v>
      </c>
      <c r="D78" s="3">
        <v>45342</v>
      </c>
      <c r="E78" s="1" t="s">
        <v>59</v>
      </c>
      <c r="F78" s="1" t="s">
        <v>66</v>
      </c>
      <c r="G78" s="1" t="s">
        <v>12</v>
      </c>
      <c r="H78" s="1" t="s">
        <v>13</v>
      </c>
      <c r="I78" s="4">
        <v>3</v>
      </c>
      <c r="J78" s="4">
        <f>VLOOKUP(H78,품목리스트!$B$5:$C$15,2,FALSE)</f>
        <v>4200000</v>
      </c>
      <c r="K78" s="6">
        <f t="shared" si="4"/>
        <v>12600000</v>
      </c>
      <c r="L78" s="6">
        <f t="shared" si="5"/>
        <v>13860000</v>
      </c>
      <c r="M78" s="1" t="s">
        <v>41</v>
      </c>
      <c r="N78" s="1" t="s">
        <v>84</v>
      </c>
    </row>
    <row r="79" spans="1:14" ht="18" customHeight="1">
      <c r="A79" s="1">
        <v>73</v>
      </c>
      <c r="B79" s="1">
        <v>2024</v>
      </c>
      <c r="C79" s="1" t="s">
        <v>42</v>
      </c>
      <c r="D79" s="3">
        <v>45333</v>
      </c>
      <c r="E79" s="1" t="s">
        <v>36</v>
      </c>
      <c r="F79" s="1" t="s">
        <v>71</v>
      </c>
      <c r="G79" s="1" t="s">
        <v>16</v>
      </c>
      <c r="H79" s="1" t="s">
        <v>18</v>
      </c>
      <c r="I79" s="4">
        <v>1</v>
      </c>
      <c r="J79" s="4">
        <f>VLOOKUP(H79,품목리스트!$B$5:$C$15,2,FALSE)</f>
        <v>240000</v>
      </c>
      <c r="K79" s="6">
        <f t="shared" si="4"/>
        <v>240000</v>
      </c>
      <c r="L79" s="6">
        <f t="shared" si="5"/>
        <v>264000</v>
      </c>
      <c r="M79" s="1" t="s">
        <v>38</v>
      </c>
      <c r="N79" s="1" t="s">
        <v>81</v>
      </c>
    </row>
    <row r="80" spans="1:14" ht="18" customHeight="1">
      <c r="A80" s="1">
        <v>74</v>
      </c>
      <c r="B80" s="1">
        <v>2024</v>
      </c>
      <c r="C80" s="1" t="s">
        <v>50</v>
      </c>
      <c r="D80" s="3">
        <v>45377</v>
      </c>
      <c r="E80" s="1" t="s">
        <v>59</v>
      </c>
      <c r="F80" s="1" t="s">
        <v>54</v>
      </c>
      <c r="G80" s="1" t="s">
        <v>12</v>
      </c>
      <c r="H80" s="1" t="s">
        <v>15</v>
      </c>
      <c r="I80" s="4">
        <v>67</v>
      </c>
      <c r="J80" s="4">
        <f>VLOOKUP(H80,품목리스트!$B$5:$C$15,2,FALSE)</f>
        <v>60000</v>
      </c>
      <c r="K80" s="6">
        <f t="shared" si="4"/>
        <v>4020000</v>
      </c>
      <c r="L80" s="6">
        <f t="shared" si="5"/>
        <v>4422000</v>
      </c>
      <c r="M80" s="1" t="s">
        <v>38</v>
      </c>
      <c r="N80" s="1" t="s">
        <v>84</v>
      </c>
    </row>
    <row r="81" spans="1:14" ht="18" customHeight="1">
      <c r="A81" s="1">
        <v>75</v>
      </c>
      <c r="B81" s="1">
        <v>2024</v>
      </c>
      <c r="C81" s="1" t="s">
        <v>50</v>
      </c>
      <c r="D81" s="3">
        <v>45368</v>
      </c>
      <c r="E81" s="1" t="s">
        <v>36</v>
      </c>
      <c r="F81" s="1" t="s">
        <v>54</v>
      </c>
      <c r="G81" s="1" t="s">
        <v>93</v>
      </c>
      <c r="H81" s="1" t="s">
        <v>10</v>
      </c>
      <c r="I81" s="4">
        <v>4</v>
      </c>
      <c r="J81" s="4">
        <f>VLOOKUP(H81,품목리스트!$B$5:$C$15,2,FALSE)</f>
        <v>4500000</v>
      </c>
      <c r="K81" s="6">
        <f t="shared" si="4"/>
        <v>18000000</v>
      </c>
      <c r="L81" s="6">
        <f t="shared" si="5"/>
        <v>19800000</v>
      </c>
      <c r="M81" s="1" t="s">
        <v>38</v>
      </c>
      <c r="N81" s="1" t="s">
        <v>83</v>
      </c>
    </row>
    <row r="82" spans="1:14" ht="18" customHeight="1">
      <c r="A82" s="1">
        <v>76</v>
      </c>
      <c r="B82" s="1">
        <v>2024</v>
      </c>
      <c r="C82" s="1" t="s">
        <v>50</v>
      </c>
      <c r="D82" s="3">
        <v>45355</v>
      </c>
      <c r="E82" s="1" t="s">
        <v>67</v>
      </c>
      <c r="F82" s="1" t="s">
        <v>69</v>
      </c>
      <c r="G82" s="1" t="s">
        <v>93</v>
      </c>
      <c r="H82" s="1" t="s">
        <v>91</v>
      </c>
      <c r="I82" s="4">
        <v>3</v>
      </c>
      <c r="J82" s="4">
        <f>VLOOKUP(H82,품목리스트!$B$5:$C$15,2,FALSE)</f>
        <v>5200000</v>
      </c>
      <c r="K82" s="6">
        <f t="shared" si="4"/>
        <v>15600000</v>
      </c>
      <c r="L82" s="6">
        <f t="shared" si="5"/>
        <v>17160000</v>
      </c>
      <c r="M82" s="1" t="s">
        <v>41</v>
      </c>
      <c r="N82" s="1" t="s">
        <v>81</v>
      </c>
    </row>
    <row r="83" spans="1:14" ht="18" customHeight="1">
      <c r="A83" s="1">
        <v>77</v>
      </c>
      <c r="B83" s="1">
        <v>2024</v>
      </c>
      <c r="C83" s="1" t="s">
        <v>53</v>
      </c>
      <c r="D83" s="3">
        <v>45396</v>
      </c>
      <c r="E83" s="1" t="s">
        <v>43</v>
      </c>
      <c r="F83" s="1" t="s">
        <v>71</v>
      </c>
      <c r="G83" s="1" t="s">
        <v>6</v>
      </c>
      <c r="H83" s="1" t="s">
        <v>7</v>
      </c>
      <c r="I83" s="4">
        <v>60</v>
      </c>
      <c r="J83" s="4">
        <f>VLOOKUP(H83,품목리스트!$B$5:$C$15,2,FALSE)</f>
        <v>130000</v>
      </c>
      <c r="K83" s="6">
        <f t="shared" si="4"/>
        <v>7800000</v>
      </c>
      <c r="L83" s="6">
        <f t="shared" si="5"/>
        <v>8580000</v>
      </c>
      <c r="M83" s="1" t="s">
        <v>38</v>
      </c>
      <c r="N83" s="1" t="s">
        <v>84</v>
      </c>
    </row>
    <row r="84" spans="1:14" ht="18" customHeight="1">
      <c r="A84" s="1">
        <v>78</v>
      </c>
      <c r="B84" s="1">
        <v>2024</v>
      </c>
      <c r="C84" s="1" t="s">
        <v>53</v>
      </c>
      <c r="D84" s="3">
        <v>45388</v>
      </c>
      <c r="E84" s="1" t="s">
        <v>59</v>
      </c>
      <c r="F84" s="1" t="s">
        <v>49</v>
      </c>
      <c r="G84" s="1" t="s">
        <v>12</v>
      </c>
      <c r="H84" s="1" t="s">
        <v>15</v>
      </c>
      <c r="I84" s="4">
        <v>3</v>
      </c>
      <c r="J84" s="4">
        <f>VLOOKUP(H84,품목리스트!$B$5:$C$15,2,FALSE)</f>
        <v>60000</v>
      </c>
      <c r="K84" s="6">
        <f t="shared" si="4"/>
        <v>180000</v>
      </c>
      <c r="L84" s="6">
        <f t="shared" si="5"/>
        <v>198000</v>
      </c>
      <c r="M84" s="1" t="s">
        <v>41</v>
      </c>
      <c r="N84" s="1" t="s">
        <v>82</v>
      </c>
    </row>
    <row r="85" spans="1:14" ht="18" customHeight="1">
      <c r="A85" s="1">
        <v>79</v>
      </c>
      <c r="B85" s="1">
        <v>2024</v>
      </c>
      <c r="C85" s="1" t="s">
        <v>53</v>
      </c>
      <c r="D85" s="3">
        <v>45387</v>
      </c>
      <c r="E85" s="1" t="s">
        <v>56</v>
      </c>
      <c r="F85" s="1" t="s">
        <v>73</v>
      </c>
      <c r="G85" s="1" t="s">
        <v>6</v>
      </c>
      <c r="H85" s="1" t="s">
        <v>9</v>
      </c>
      <c r="I85" s="4">
        <v>1</v>
      </c>
      <c r="J85" s="4">
        <f>VLOOKUP(H85,품목리스트!$B$5:$C$15,2,FALSE)</f>
        <v>175000</v>
      </c>
      <c r="K85" s="6">
        <f t="shared" si="4"/>
        <v>175000</v>
      </c>
      <c r="L85" s="6">
        <f t="shared" si="5"/>
        <v>192500</v>
      </c>
      <c r="M85" s="1" t="s">
        <v>38</v>
      </c>
      <c r="N85" s="1" t="s">
        <v>84</v>
      </c>
    </row>
    <row r="86" spans="1:14" ht="18" customHeight="1">
      <c r="A86" s="1">
        <v>80</v>
      </c>
      <c r="B86" s="1">
        <v>2024</v>
      </c>
      <c r="C86" s="1" t="s">
        <v>58</v>
      </c>
      <c r="D86" s="3">
        <v>45416</v>
      </c>
      <c r="E86" s="1" t="s">
        <v>36</v>
      </c>
      <c r="F86" s="1" t="s">
        <v>69</v>
      </c>
      <c r="G86" s="1" t="s">
        <v>93</v>
      </c>
      <c r="H86" s="1" t="s">
        <v>11</v>
      </c>
      <c r="I86" s="4">
        <v>51</v>
      </c>
      <c r="J86" s="4">
        <f>VLOOKUP(H86,품목리스트!$B$5:$C$15,2,FALSE)</f>
        <v>6000000</v>
      </c>
      <c r="K86" s="6">
        <f t="shared" si="4"/>
        <v>306000000</v>
      </c>
      <c r="L86" s="6">
        <f t="shared" si="5"/>
        <v>336600000</v>
      </c>
      <c r="M86" s="1" t="s">
        <v>41</v>
      </c>
      <c r="N86" s="1" t="s">
        <v>83</v>
      </c>
    </row>
    <row r="87" spans="1:14" ht="18" customHeight="1">
      <c r="A87" s="1">
        <v>81</v>
      </c>
      <c r="B87" s="1">
        <v>2024</v>
      </c>
      <c r="C87" s="1" t="s">
        <v>58</v>
      </c>
      <c r="D87" s="3">
        <v>45420</v>
      </c>
      <c r="E87" s="1" t="s">
        <v>36</v>
      </c>
      <c r="F87" s="1" t="s">
        <v>40</v>
      </c>
      <c r="G87" s="1" t="s">
        <v>93</v>
      </c>
      <c r="H87" s="1" t="s">
        <v>91</v>
      </c>
      <c r="I87" s="4">
        <v>3</v>
      </c>
      <c r="J87" s="4">
        <f>VLOOKUP(H87,품목리스트!$B$5:$C$15,2,FALSE)</f>
        <v>5200000</v>
      </c>
      <c r="K87" s="6">
        <f t="shared" si="4"/>
        <v>15600000</v>
      </c>
      <c r="L87" s="6">
        <f t="shared" si="5"/>
        <v>17160000</v>
      </c>
      <c r="M87" s="1" t="s">
        <v>41</v>
      </c>
      <c r="N87" s="1" t="s">
        <v>81</v>
      </c>
    </row>
    <row r="88" spans="1:14" ht="18" customHeight="1">
      <c r="A88" s="1">
        <v>82</v>
      </c>
      <c r="B88" s="1">
        <v>2024</v>
      </c>
      <c r="C88" s="1" t="s">
        <v>61</v>
      </c>
      <c r="D88" s="3">
        <v>45463</v>
      </c>
      <c r="E88" s="1" t="s">
        <v>51</v>
      </c>
      <c r="F88" s="1" t="s">
        <v>44</v>
      </c>
      <c r="G88" s="1" t="s">
        <v>93</v>
      </c>
      <c r="H88" s="1" t="s">
        <v>11</v>
      </c>
      <c r="I88" s="4">
        <v>63</v>
      </c>
      <c r="J88" s="4">
        <f>VLOOKUP(H88,품목리스트!$B$5:$C$15,2,FALSE)</f>
        <v>6000000</v>
      </c>
      <c r="K88" s="6">
        <f t="shared" si="4"/>
        <v>378000000</v>
      </c>
      <c r="L88" s="6">
        <f t="shared" si="5"/>
        <v>415800000</v>
      </c>
      <c r="M88" s="1" t="s">
        <v>41</v>
      </c>
      <c r="N88" s="1" t="s">
        <v>81</v>
      </c>
    </row>
    <row r="89" spans="1:14" ht="18" customHeight="1">
      <c r="A89" s="1">
        <v>83</v>
      </c>
      <c r="B89" s="1">
        <v>2024</v>
      </c>
      <c r="C89" s="1" t="s">
        <v>61</v>
      </c>
      <c r="D89" s="3">
        <v>45457</v>
      </c>
      <c r="E89" s="1" t="s">
        <v>56</v>
      </c>
      <c r="F89" s="1" t="s">
        <v>60</v>
      </c>
      <c r="G89" s="1" t="s">
        <v>6</v>
      </c>
      <c r="H89" s="1" t="s">
        <v>7</v>
      </c>
      <c r="I89" s="4">
        <v>3</v>
      </c>
      <c r="J89" s="4">
        <f>VLOOKUP(H89,품목리스트!$B$5:$C$15,2,FALSE)</f>
        <v>130000</v>
      </c>
      <c r="K89" s="6">
        <f t="shared" si="4"/>
        <v>390000</v>
      </c>
      <c r="L89" s="6">
        <f t="shared" si="5"/>
        <v>429000</v>
      </c>
      <c r="M89" s="1" t="s">
        <v>41</v>
      </c>
      <c r="N89" s="1" t="s">
        <v>84</v>
      </c>
    </row>
    <row r="90" spans="1:14" ht="18" customHeight="1">
      <c r="A90" s="1">
        <v>84</v>
      </c>
      <c r="B90" s="1">
        <v>2024</v>
      </c>
      <c r="C90" s="1" t="s">
        <v>61</v>
      </c>
      <c r="D90" s="3">
        <v>45465</v>
      </c>
      <c r="E90" s="1" t="s">
        <v>64</v>
      </c>
      <c r="F90" s="1" t="s">
        <v>49</v>
      </c>
      <c r="G90" s="1" t="s">
        <v>93</v>
      </c>
      <c r="H90" s="1" t="s">
        <v>91</v>
      </c>
      <c r="I90" s="4">
        <v>1</v>
      </c>
      <c r="J90" s="4">
        <f>VLOOKUP(H90,품목리스트!$B$5:$C$15,2,FALSE)</f>
        <v>5200000</v>
      </c>
      <c r="K90" s="6">
        <f t="shared" si="4"/>
        <v>5200000</v>
      </c>
      <c r="L90" s="6">
        <f t="shared" si="5"/>
        <v>5720000</v>
      </c>
      <c r="M90" s="1" t="s">
        <v>41</v>
      </c>
      <c r="N90" s="1" t="s">
        <v>81</v>
      </c>
    </row>
    <row r="91" spans="1:14" ht="18" customHeight="1">
      <c r="A91" s="1">
        <v>85</v>
      </c>
      <c r="B91" s="1">
        <v>2024</v>
      </c>
      <c r="C91" s="1" t="s">
        <v>61</v>
      </c>
      <c r="D91" s="3">
        <v>45456</v>
      </c>
      <c r="E91" s="1" t="s">
        <v>67</v>
      </c>
      <c r="F91" s="1" t="s">
        <v>47</v>
      </c>
      <c r="G91" s="1" t="s">
        <v>12</v>
      </c>
      <c r="H91" s="1" t="s">
        <v>13</v>
      </c>
      <c r="I91" s="4">
        <v>2</v>
      </c>
      <c r="J91" s="4">
        <f>VLOOKUP(H91,품목리스트!$B$5:$C$15,2,FALSE)</f>
        <v>4200000</v>
      </c>
      <c r="K91" s="6">
        <f t="shared" si="4"/>
        <v>8400000</v>
      </c>
      <c r="L91" s="6">
        <f t="shared" si="5"/>
        <v>9240000</v>
      </c>
      <c r="M91" s="1" t="s">
        <v>41</v>
      </c>
      <c r="N91" s="1" t="s">
        <v>83</v>
      </c>
    </row>
    <row r="92" spans="1:14" ht="18" customHeight="1">
      <c r="A92" s="1">
        <v>86</v>
      </c>
      <c r="B92" s="1">
        <v>2024</v>
      </c>
      <c r="C92" s="1" t="s">
        <v>63</v>
      </c>
      <c r="D92" s="3">
        <v>45478</v>
      </c>
      <c r="E92" s="1" t="s">
        <v>51</v>
      </c>
      <c r="F92" s="1" t="s">
        <v>57</v>
      </c>
      <c r="G92" s="1" t="s">
        <v>6</v>
      </c>
      <c r="H92" s="1" t="s">
        <v>7</v>
      </c>
      <c r="I92" s="4">
        <v>52</v>
      </c>
      <c r="J92" s="4">
        <f>VLOOKUP(H92,품목리스트!$B$5:$C$15,2,FALSE)</f>
        <v>130000</v>
      </c>
      <c r="K92" s="6">
        <f t="shared" si="4"/>
        <v>6760000</v>
      </c>
      <c r="L92" s="6">
        <f t="shared" si="5"/>
        <v>7436000</v>
      </c>
      <c r="M92" s="1" t="s">
        <v>38</v>
      </c>
      <c r="N92" s="1" t="s">
        <v>81</v>
      </c>
    </row>
    <row r="93" spans="1:14" ht="18" customHeight="1">
      <c r="A93" s="1">
        <v>87</v>
      </c>
      <c r="B93" s="1">
        <v>2024</v>
      </c>
      <c r="C93" s="1" t="s">
        <v>63</v>
      </c>
      <c r="D93" s="3">
        <v>45481</v>
      </c>
      <c r="E93" s="1" t="s">
        <v>51</v>
      </c>
      <c r="F93" s="1" t="s">
        <v>71</v>
      </c>
      <c r="G93" s="1" t="s">
        <v>93</v>
      </c>
      <c r="H93" s="1" t="s">
        <v>10</v>
      </c>
      <c r="I93" s="4">
        <v>4</v>
      </c>
      <c r="J93" s="4">
        <f>VLOOKUP(H93,품목리스트!$B$5:$C$15,2,FALSE)</f>
        <v>4500000</v>
      </c>
      <c r="K93" s="6">
        <f t="shared" si="4"/>
        <v>18000000</v>
      </c>
      <c r="L93" s="6">
        <f t="shared" si="5"/>
        <v>19800000</v>
      </c>
      <c r="M93" s="1" t="s">
        <v>38</v>
      </c>
      <c r="N93" s="1" t="s">
        <v>83</v>
      </c>
    </row>
    <row r="94" spans="1:14" ht="18" customHeight="1">
      <c r="A94" s="1">
        <v>88</v>
      </c>
      <c r="B94" s="1">
        <v>2024</v>
      </c>
      <c r="C94" s="1" t="s">
        <v>65</v>
      </c>
      <c r="D94" s="3">
        <v>45512</v>
      </c>
      <c r="E94" s="1" t="s">
        <v>64</v>
      </c>
      <c r="F94" s="1" t="s">
        <v>71</v>
      </c>
      <c r="G94" s="1" t="s">
        <v>93</v>
      </c>
      <c r="H94" s="1" t="s">
        <v>11</v>
      </c>
      <c r="I94" s="4">
        <v>56</v>
      </c>
      <c r="J94" s="4">
        <f>VLOOKUP(H94,품목리스트!$B$5:$C$15,2,FALSE)</f>
        <v>6000000</v>
      </c>
      <c r="K94" s="6">
        <f t="shared" si="4"/>
        <v>336000000</v>
      </c>
      <c r="L94" s="6">
        <f t="shared" si="5"/>
        <v>369600000</v>
      </c>
      <c r="M94" s="1" t="s">
        <v>38</v>
      </c>
      <c r="N94" s="1" t="s">
        <v>81</v>
      </c>
    </row>
    <row r="95" spans="1:14" ht="18" customHeight="1">
      <c r="A95" s="1">
        <v>89</v>
      </c>
      <c r="B95" s="1">
        <v>2024</v>
      </c>
      <c r="C95" s="1" t="s">
        <v>65</v>
      </c>
      <c r="D95" s="3">
        <v>45529</v>
      </c>
      <c r="E95" s="1" t="s">
        <v>46</v>
      </c>
      <c r="F95" s="1" t="s">
        <v>57</v>
      </c>
      <c r="G95" s="1" t="s">
        <v>6</v>
      </c>
      <c r="H95" s="1" t="s">
        <v>8</v>
      </c>
      <c r="I95" s="4">
        <v>3</v>
      </c>
      <c r="J95" s="4">
        <f>VLOOKUP(H95,품목리스트!$B$5:$C$15,2,FALSE)</f>
        <v>145000</v>
      </c>
      <c r="K95" s="6">
        <f t="shared" si="4"/>
        <v>435000</v>
      </c>
      <c r="L95" s="6">
        <f t="shared" si="5"/>
        <v>478500</v>
      </c>
      <c r="M95" s="1" t="s">
        <v>38</v>
      </c>
      <c r="N95" s="1" t="s">
        <v>81</v>
      </c>
    </row>
    <row r="96" spans="1:14" ht="18" customHeight="1">
      <c r="A96" s="1">
        <v>90</v>
      </c>
      <c r="B96" s="1">
        <v>2024</v>
      </c>
      <c r="C96" s="1" t="s">
        <v>65</v>
      </c>
      <c r="D96" s="3">
        <v>45529</v>
      </c>
      <c r="E96" s="1" t="s">
        <v>46</v>
      </c>
      <c r="F96" s="1" t="s">
        <v>47</v>
      </c>
      <c r="G96" s="1" t="s">
        <v>12</v>
      </c>
      <c r="H96" s="1" t="s">
        <v>13</v>
      </c>
      <c r="I96" s="4">
        <v>1</v>
      </c>
      <c r="J96" s="4">
        <f>VLOOKUP(H96,품목리스트!$B$5:$C$15,2,FALSE)</f>
        <v>4200000</v>
      </c>
      <c r="K96" s="6">
        <f t="shared" si="4"/>
        <v>4200000</v>
      </c>
      <c r="L96" s="6">
        <f t="shared" si="5"/>
        <v>4620000</v>
      </c>
      <c r="M96" s="1" t="s">
        <v>41</v>
      </c>
      <c r="N96" s="1" t="s">
        <v>83</v>
      </c>
    </row>
    <row r="97" spans="1:14" ht="18" customHeight="1">
      <c r="A97" s="1">
        <v>91</v>
      </c>
      <c r="B97" s="1">
        <v>2024</v>
      </c>
      <c r="C97" s="1" t="s">
        <v>68</v>
      </c>
      <c r="D97" s="3">
        <v>45549</v>
      </c>
      <c r="E97" s="1" t="s">
        <v>64</v>
      </c>
      <c r="F97" s="1" t="s">
        <v>76</v>
      </c>
      <c r="G97" s="1" t="s">
        <v>12</v>
      </c>
      <c r="H97" s="1" t="s">
        <v>13</v>
      </c>
      <c r="I97" s="4">
        <v>83</v>
      </c>
      <c r="J97" s="4">
        <f>VLOOKUP(H97,품목리스트!$B$5:$C$15,2,FALSE)</f>
        <v>4200000</v>
      </c>
      <c r="K97" s="6">
        <f t="shared" si="4"/>
        <v>348600000</v>
      </c>
      <c r="L97" s="6">
        <f t="shared" si="5"/>
        <v>383460000</v>
      </c>
      <c r="M97" s="1" t="s">
        <v>41</v>
      </c>
      <c r="N97" s="1" t="s">
        <v>82</v>
      </c>
    </row>
    <row r="98" spans="1:14" ht="18" customHeight="1">
      <c r="A98" s="1">
        <v>92</v>
      </c>
      <c r="B98" s="1">
        <v>2024</v>
      </c>
      <c r="C98" s="1" t="s">
        <v>68</v>
      </c>
      <c r="D98" s="3">
        <v>45538</v>
      </c>
      <c r="E98" s="1" t="s">
        <v>36</v>
      </c>
      <c r="F98" s="1" t="s">
        <v>76</v>
      </c>
      <c r="G98" s="1" t="s">
        <v>12</v>
      </c>
      <c r="H98" s="1" t="s">
        <v>15</v>
      </c>
      <c r="I98" s="4">
        <v>4</v>
      </c>
      <c r="J98" s="4">
        <f>VLOOKUP(H98,품목리스트!$B$5:$C$15,2,FALSE)</f>
        <v>60000</v>
      </c>
      <c r="K98" s="6">
        <f t="shared" si="4"/>
        <v>240000</v>
      </c>
      <c r="L98" s="6">
        <f t="shared" si="5"/>
        <v>264000</v>
      </c>
      <c r="M98" s="1" t="s">
        <v>41</v>
      </c>
      <c r="N98" s="1" t="s">
        <v>84</v>
      </c>
    </row>
    <row r="99" spans="1:14" ht="18" customHeight="1">
      <c r="A99" s="1">
        <v>93</v>
      </c>
      <c r="B99" s="1">
        <v>2024</v>
      </c>
      <c r="C99" s="1" t="s">
        <v>68</v>
      </c>
      <c r="D99" s="3">
        <v>45556</v>
      </c>
      <c r="E99" s="1" t="s">
        <v>46</v>
      </c>
      <c r="F99" s="1" t="s">
        <v>49</v>
      </c>
      <c r="G99" s="1" t="s">
        <v>12</v>
      </c>
      <c r="H99" s="1" t="s">
        <v>14</v>
      </c>
      <c r="I99" s="4">
        <v>3</v>
      </c>
      <c r="J99" s="4">
        <f>VLOOKUP(H99,품목리스트!$B$5:$C$15,2,FALSE)</f>
        <v>4800000</v>
      </c>
      <c r="K99" s="6">
        <f t="shared" si="4"/>
        <v>14400000</v>
      </c>
      <c r="L99" s="6">
        <f t="shared" si="5"/>
        <v>15840000</v>
      </c>
      <c r="M99" s="1" t="s">
        <v>41</v>
      </c>
      <c r="N99" s="1" t="s">
        <v>83</v>
      </c>
    </row>
    <row r="100" spans="1:14" ht="18" customHeight="1">
      <c r="A100" s="1">
        <v>94</v>
      </c>
      <c r="B100" s="1">
        <v>2024</v>
      </c>
      <c r="C100" s="1" t="s">
        <v>70</v>
      </c>
      <c r="D100" s="3">
        <v>45587</v>
      </c>
      <c r="E100" s="1" t="s">
        <v>67</v>
      </c>
      <c r="F100" s="1" t="s">
        <v>37</v>
      </c>
      <c r="G100" s="1" t="s">
        <v>93</v>
      </c>
      <c r="H100" s="1" t="s">
        <v>10</v>
      </c>
      <c r="I100" s="4">
        <v>56</v>
      </c>
      <c r="J100" s="4">
        <f>VLOOKUP(H100,품목리스트!$B$5:$C$15,2,FALSE)</f>
        <v>4500000</v>
      </c>
      <c r="K100" s="6">
        <f t="shared" si="4"/>
        <v>252000000</v>
      </c>
      <c r="L100" s="6">
        <f t="shared" si="5"/>
        <v>277200000</v>
      </c>
      <c r="M100" s="1" t="s">
        <v>38</v>
      </c>
      <c r="N100" s="1" t="s">
        <v>84</v>
      </c>
    </row>
    <row r="101" spans="1:14" ht="18" customHeight="1">
      <c r="A101" s="1">
        <v>95</v>
      </c>
      <c r="B101" s="1">
        <v>2024</v>
      </c>
      <c r="C101" s="1" t="s">
        <v>70</v>
      </c>
      <c r="D101" s="3">
        <v>45571</v>
      </c>
      <c r="E101" s="1" t="s">
        <v>43</v>
      </c>
      <c r="F101" s="1" t="s">
        <v>60</v>
      </c>
      <c r="G101" s="1" t="s">
        <v>12</v>
      </c>
      <c r="H101" s="1" t="s">
        <v>13</v>
      </c>
      <c r="I101" s="4">
        <v>4</v>
      </c>
      <c r="J101" s="4">
        <f>VLOOKUP(H101,품목리스트!$B$5:$C$15,2,FALSE)</f>
        <v>4200000</v>
      </c>
      <c r="K101" s="6">
        <f t="shared" si="4"/>
        <v>16800000</v>
      </c>
      <c r="L101" s="6">
        <f t="shared" si="5"/>
        <v>18480000</v>
      </c>
      <c r="M101" s="1" t="s">
        <v>41</v>
      </c>
      <c r="N101" s="1" t="s">
        <v>81</v>
      </c>
    </row>
    <row r="102" spans="1:14" ht="18" customHeight="1">
      <c r="A102" s="1">
        <v>96</v>
      </c>
      <c r="B102" s="1">
        <v>2024</v>
      </c>
      <c r="C102" s="1" t="s">
        <v>70</v>
      </c>
      <c r="D102" s="3">
        <v>45577</v>
      </c>
      <c r="E102" s="1" t="s">
        <v>43</v>
      </c>
      <c r="F102" s="1" t="s">
        <v>47</v>
      </c>
      <c r="G102" s="1" t="s">
        <v>16</v>
      </c>
      <c r="H102" s="1" t="s">
        <v>17</v>
      </c>
      <c r="I102" s="4">
        <v>1</v>
      </c>
      <c r="J102" s="4">
        <f>VLOOKUP(H102,품목리스트!$B$5:$C$15,2,FALSE)</f>
        <v>180000</v>
      </c>
      <c r="K102" s="6">
        <f t="shared" si="4"/>
        <v>180000</v>
      </c>
      <c r="L102" s="6">
        <f t="shared" si="5"/>
        <v>198000</v>
      </c>
      <c r="M102" s="1" t="s">
        <v>41</v>
      </c>
      <c r="N102" s="1" t="s">
        <v>83</v>
      </c>
    </row>
    <row r="103" spans="1:14" ht="18" customHeight="1">
      <c r="A103" s="1">
        <v>97</v>
      </c>
      <c r="B103" s="1">
        <v>2024</v>
      </c>
      <c r="C103" s="1" t="s">
        <v>72</v>
      </c>
      <c r="D103" s="3">
        <v>45614</v>
      </c>
      <c r="E103" s="1" t="s">
        <v>43</v>
      </c>
      <c r="F103" s="1" t="s">
        <v>47</v>
      </c>
      <c r="G103" s="1" t="s">
        <v>12</v>
      </c>
      <c r="H103" s="1" t="s">
        <v>13</v>
      </c>
      <c r="I103" s="4">
        <v>63</v>
      </c>
      <c r="J103" s="4">
        <f>VLOOKUP(H103,품목리스트!$B$5:$C$15,2,FALSE)</f>
        <v>4200000</v>
      </c>
      <c r="K103" s="6">
        <f t="shared" ref="K103:K108" si="6">ROUND(I103*J103,0)</f>
        <v>264600000</v>
      </c>
      <c r="L103" s="6">
        <f t="shared" ref="L103:L108" si="7">ROUND(K103*(1+$B$5),0)</f>
        <v>291060000</v>
      </c>
      <c r="M103" s="1" t="s">
        <v>41</v>
      </c>
      <c r="N103" s="1" t="s">
        <v>83</v>
      </c>
    </row>
    <row r="104" spans="1:14" ht="18" customHeight="1">
      <c r="A104" s="1">
        <v>98</v>
      </c>
      <c r="B104" s="1">
        <v>2024</v>
      </c>
      <c r="C104" s="1" t="s">
        <v>72</v>
      </c>
      <c r="D104" s="3">
        <v>45607</v>
      </c>
      <c r="E104" s="1" t="s">
        <v>62</v>
      </c>
      <c r="F104" s="1" t="s">
        <v>57</v>
      </c>
      <c r="G104" s="1" t="s">
        <v>93</v>
      </c>
      <c r="H104" s="1" t="s">
        <v>10</v>
      </c>
      <c r="I104" s="4">
        <v>3</v>
      </c>
      <c r="J104" s="4">
        <f>VLOOKUP(H104,품목리스트!$B$5:$C$15,2,FALSE)</f>
        <v>4500000</v>
      </c>
      <c r="K104" s="6">
        <f t="shared" si="6"/>
        <v>13500000</v>
      </c>
      <c r="L104" s="6">
        <f t="shared" si="7"/>
        <v>14850000</v>
      </c>
      <c r="M104" s="1" t="s">
        <v>38</v>
      </c>
      <c r="N104" s="1" t="s">
        <v>84</v>
      </c>
    </row>
    <row r="105" spans="1:14" ht="18" customHeight="1">
      <c r="A105" s="1">
        <v>99</v>
      </c>
      <c r="B105" s="1">
        <v>2024</v>
      </c>
      <c r="C105" s="1" t="s">
        <v>74</v>
      </c>
      <c r="D105" s="3">
        <v>45651</v>
      </c>
      <c r="E105" s="1" t="s">
        <v>36</v>
      </c>
      <c r="F105" s="1" t="s">
        <v>76</v>
      </c>
      <c r="G105" s="1" t="s">
        <v>6</v>
      </c>
      <c r="H105" s="1" t="s">
        <v>7</v>
      </c>
      <c r="I105" s="4">
        <v>52</v>
      </c>
      <c r="J105" s="4">
        <f>VLOOKUP(H105,품목리스트!$B$5:$C$15,2,FALSE)</f>
        <v>130000</v>
      </c>
      <c r="K105" s="6">
        <f t="shared" si="6"/>
        <v>6760000</v>
      </c>
      <c r="L105" s="6">
        <f t="shared" si="7"/>
        <v>7436000</v>
      </c>
      <c r="M105" s="1" t="s">
        <v>41</v>
      </c>
      <c r="N105" s="1" t="s">
        <v>84</v>
      </c>
    </row>
    <row r="106" spans="1:14" ht="18" customHeight="1">
      <c r="A106" s="1">
        <v>100</v>
      </c>
      <c r="B106" s="1">
        <v>2024</v>
      </c>
      <c r="C106" s="1" t="s">
        <v>74</v>
      </c>
      <c r="D106" s="3">
        <v>45636</v>
      </c>
      <c r="E106" s="1" t="s">
        <v>51</v>
      </c>
      <c r="F106" s="1" t="s">
        <v>40</v>
      </c>
      <c r="G106" s="1" t="s">
        <v>16</v>
      </c>
      <c r="H106" s="1" t="s">
        <v>18</v>
      </c>
      <c r="I106" s="4">
        <v>3</v>
      </c>
      <c r="J106" s="4">
        <f>VLOOKUP(H106,품목리스트!$B$5:$C$15,2,FALSE)</f>
        <v>240000</v>
      </c>
      <c r="K106" s="6">
        <f t="shared" si="6"/>
        <v>720000</v>
      </c>
      <c r="L106" s="6">
        <f t="shared" si="7"/>
        <v>792000</v>
      </c>
      <c r="M106" s="1" t="s">
        <v>41</v>
      </c>
      <c r="N106" s="1" t="s">
        <v>84</v>
      </c>
    </row>
    <row r="107" spans="1:14" ht="18" customHeight="1">
      <c r="A107" s="1">
        <v>101</v>
      </c>
      <c r="B107" s="1">
        <v>2024</v>
      </c>
      <c r="C107" s="1" t="s">
        <v>74</v>
      </c>
      <c r="D107" s="3">
        <v>45652</v>
      </c>
      <c r="E107" s="1" t="s">
        <v>36</v>
      </c>
      <c r="F107" s="1" t="s">
        <v>52</v>
      </c>
      <c r="G107" s="1" t="s">
        <v>6</v>
      </c>
      <c r="H107" s="1" t="s">
        <v>9</v>
      </c>
      <c r="I107" s="4">
        <v>1</v>
      </c>
      <c r="J107" s="4">
        <f>VLOOKUP(H107,품목리스트!$B$5:$C$15,2,FALSE)</f>
        <v>175000</v>
      </c>
      <c r="K107" s="6">
        <f t="shared" si="6"/>
        <v>175000</v>
      </c>
      <c r="L107" s="6">
        <f t="shared" si="7"/>
        <v>192500</v>
      </c>
      <c r="M107" s="1" t="s">
        <v>41</v>
      </c>
      <c r="N107" s="1" t="s">
        <v>84</v>
      </c>
    </row>
    <row r="108" spans="1:14" ht="18" customHeight="1">
      <c r="A108" s="1">
        <v>102</v>
      </c>
      <c r="B108" s="1">
        <v>2024</v>
      </c>
      <c r="C108" s="1" t="s">
        <v>74</v>
      </c>
      <c r="D108" s="3">
        <v>45636</v>
      </c>
      <c r="E108" s="1" t="s">
        <v>36</v>
      </c>
      <c r="F108" s="1" t="s">
        <v>71</v>
      </c>
      <c r="G108" s="1" t="s">
        <v>6</v>
      </c>
      <c r="H108" s="1" t="s">
        <v>8</v>
      </c>
      <c r="I108" s="4">
        <v>2</v>
      </c>
      <c r="J108" s="4">
        <f>VLOOKUP(H108,품목리스트!$B$5:$C$15,2,FALSE)</f>
        <v>145000</v>
      </c>
      <c r="K108" s="6">
        <f t="shared" si="6"/>
        <v>290000</v>
      </c>
      <c r="L108" s="6">
        <f t="shared" si="7"/>
        <v>319000</v>
      </c>
      <c r="M108" s="1" t="s">
        <v>38</v>
      </c>
      <c r="N108" s="1" t="s">
        <v>83</v>
      </c>
    </row>
    <row r="109" spans="1:14" ht="18" customHeight="1">
      <c r="A109" s="2" t="s">
        <v>78</v>
      </c>
      <c r="B109" s="2"/>
      <c r="C109" s="2"/>
      <c r="D109" s="2"/>
      <c r="E109" s="2"/>
      <c r="F109" s="2"/>
      <c r="G109" s="2"/>
      <c r="H109" s="2"/>
      <c r="I109" s="5">
        <f>SUM(I7:I108)</f>
        <v>2045</v>
      </c>
      <c r="J109" s="5"/>
      <c r="K109" s="5">
        <f>SUM(K7:K108)</f>
        <v>4596675000</v>
      </c>
      <c r="L109" s="5">
        <f>SUM(L7:L108)</f>
        <v>5056342500</v>
      </c>
      <c r="M109" s="2"/>
      <c r="N109" s="2"/>
    </row>
  </sheetData>
  <mergeCells count="4">
    <mergeCell ref="A1:N1"/>
    <mergeCell ref="A2:N2"/>
    <mergeCell ref="A3:N3"/>
    <mergeCell ref="A4:N4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9"/>
  <sheetViews>
    <sheetView showGridLines="0" workbookViewId="0">
      <selection activeCell="H32" sqref="H32"/>
    </sheetView>
  </sheetViews>
  <sheetFormatPr baseColWidth="10" defaultColWidth="8.83203125" defaultRowHeight="14"/>
  <cols>
    <col min="1" max="1" width="7" customWidth="1"/>
    <col min="2" max="2" width="10" customWidth="1"/>
    <col min="3" max="3" width="12" customWidth="1"/>
    <col min="4" max="4" width="13" customWidth="1"/>
    <col min="5" max="5" width="10" customWidth="1"/>
    <col min="6" max="6" width="24" customWidth="1"/>
    <col min="7" max="7" width="18" customWidth="1"/>
    <col min="8" max="8" width="14" customWidth="1"/>
    <col min="9" max="9" width="10" customWidth="1"/>
    <col min="10" max="12" width="16" customWidth="1"/>
    <col min="13" max="13" width="14" customWidth="1"/>
    <col min="14" max="14" width="15" customWidth="1"/>
  </cols>
  <sheetData>
    <row r="1" spans="1:14" ht="28" customHeight="1">
      <c r="A1" s="12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2" customHeight="1">
      <c r="A2" s="13" t="s">
        <v>86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2" customHeight="1">
      <c r="A3" s="13" t="s">
        <v>21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22" customHeight="1">
      <c r="A4" s="13" t="s">
        <v>22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0" customHeight="1">
      <c r="A5" s="9" t="s">
        <v>23</v>
      </c>
      <c r="B5" s="10">
        <v>0.1</v>
      </c>
    </row>
    <row r="6" spans="1:14" ht="34" customHeight="1">
      <c r="A6" s="11" t="s">
        <v>24</v>
      </c>
      <c r="B6" s="11" t="s">
        <v>25</v>
      </c>
      <c r="C6" s="11" t="s">
        <v>26</v>
      </c>
      <c r="D6" s="11" t="s">
        <v>27</v>
      </c>
      <c r="E6" s="11" t="s">
        <v>28</v>
      </c>
      <c r="F6" s="11" t="s">
        <v>29</v>
      </c>
      <c r="G6" s="11" t="s">
        <v>3</v>
      </c>
      <c r="H6" s="11" t="s">
        <v>4</v>
      </c>
      <c r="I6" s="11" t="s">
        <v>30</v>
      </c>
      <c r="J6" s="11" t="s">
        <v>5</v>
      </c>
      <c r="K6" s="11" t="s">
        <v>31</v>
      </c>
      <c r="L6" s="11" t="s">
        <v>32</v>
      </c>
      <c r="M6" s="11" t="s">
        <v>33</v>
      </c>
      <c r="N6" s="11" t="s">
        <v>34</v>
      </c>
    </row>
    <row r="7" spans="1:14" ht="18" customHeight="1">
      <c r="A7" s="1">
        <v>1</v>
      </c>
      <c r="B7" s="1">
        <v>2022</v>
      </c>
      <c r="C7" s="1" t="s">
        <v>35</v>
      </c>
      <c r="D7" s="3">
        <v>44581</v>
      </c>
      <c r="E7" s="1" t="s">
        <v>36</v>
      </c>
      <c r="F7" s="1" t="s">
        <v>40</v>
      </c>
      <c r="G7" s="1" t="s">
        <v>16</v>
      </c>
      <c r="H7" s="1" t="s">
        <v>18</v>
      </c>
      <c r="I7" s="4">
        <v>60</v>
      </c>
      <c r="J7" s="4">
        <f>VLOOKUP(H7,품목리스트!$B$5:$C$15,2,FALSE)</f>
        <v>240000</v>
      </c>
      <c r="K7" s="6">
        <f t="shared" ref="K7:K38" si="0">ROUND(I7*J7,0)</f>
        <v>14400000</v>
      </c>
      <c r="L7" s="6">
        <f t="shared" ref="L7:L38" si="1">ROUND(K7*(1+$B$5),0)</f>
        <v>15840000</v>
      </c>
      <c r="M7" s="1" t="s">
        <v>41</v>
      </c>
      <c r="N7" s="1" t="s">
        <v>87</v>
      </c>
    </row>
    <row r="8" spans="1:14" ht="18" customHeight="1">
      <c r="A8" s="1">
        <v>2</v>
      </c>
      <c r="B8" s="1">
        <v>2022</v>
      </c>
      <c r="C8" s="1" t="s">
        <v>35</v>
      </c>
      <c r="D8" s="3">
        <v>44586</v>
      </c>
      <c r="E8" s="1" t="s">
        <v>51</v>
      </c>
      <c r="F8" s="1" t="s">
        <v>73</v>
      </c>
      <c r="G8" s="1" t="s">
        <v>12</v>
      </c>
      <c r="H8" s="1" t="s">
        <v>14</v>
      </c>
      <c r="I8" s="4">
        <v>5</v>
      </c>
      <c r="J8" s="4">
        <f>VLOOKUP(H8,품목리스트!$B$5:$C$15,2,FALSE)</f>
        <v>4800000</v>
      </c>
      <c r="K8" s="6">
        <f t="shared" si="0"/>
        <v>24000000</v>
      </c>
      <c r="L8" s="6">
        <f t="shared" si="1"/>
        <v>26400000</v>
      </c>
      <c r="M8" s="1" t="s">
        <v>38</v>
      </c>
      <c r="N8" s="1" t="s">
        <v>88</v>
      </c>
    </row>
    <row r="9" spans="1:14" ht="18" customHeight="1">
      <c r="A9" s="1">
        <v>3</v>
      </c>
      <c r="B9" s="1">
        <v>2022</v>
      </c>
      <c r="C9" s="1" t="s">
        <v>42</v>
      </c>
      <c r="D9" s="3">
        <v>44603</v>
      </c>
      <c r="E9" s="1" t="s">
        <v>64</v>
      </c>
      <c r="F9" s="1" t="s">
        <v>66</v>
      </c>
      <c r="G9" s="1" t="s">
        <v>6</v>
      </c>
      <c r="H9" s="1" t="s">
        <v>7</v>
      </c>
      <c r="I9" s="4">
        <v>72</v>
      </c>
      <c r="J9" s="4">
        <f>VLOOKUP(H9,품목리스트!$B$5:$C$15,2,FALSE)</f>
        <v>130000</v>
      </c>
      <c r="K9" s="6">
        <f t="shared" si="0"/>
        <v>9360000</v>
      </c>
      <c r="L9" s="6">
        <f t="shared" si="1"/>
        <v>10296000</v>
      </c>
      <c r="M9" s="1" t="s">
        <v>41</v>
      </c>
      <c r="N9" s="1" t="s">
        <v>87</v>
      </c>
    </row>
    <row r="10" spans="1:14" ht="18" customHeight="1">
      <c r="A10" s="1">
        <v>4</v>
      </c>
      <c r="B10" s="1">
        <v>2022</v>
      </c>
      <c r="C10" s="1" t="s">
        <v>42</v>
      </c>
      <c r="D10" s="3">
        <v>44608</v>
      </c>
      <c r="E10" s="1" t="s">
        <v>59</v>
      </c>
      <c r="F10" s="1" t="s">
        <v>73</v>
      </c>
      <c r="G10" s="1" t="s">
        <v>16</v>
      </c>
      <c r="H10" s="1" t="s">
        <v>17</v>
      </c>
      <c r="I10" s="4">
        <v>5</v>
      </c>
      <c r="J10" s="4">
        <f>VLOOKUP(H10,품목리스트!$B$5:$C$15,2,FALSE)</f>
        <v>180000</v>
      </c>
      <c r="K10" s="6">
        <f t="shared" si="0"/>
        <v>900000</v>
      </c>
      <c r="L10" s="6">
        <f t="shared" si="1"/>
        <v>990000</v>
      </c>
      <c r="M10" s="1" t="s">
        <v>38</v>
      </c>
      <c r="N10" s="1" t="s">
        <v>88</v>
      </c>
    </row>
    <row r="11" spans="1:14" ht="18" customHeight="1">
      <c r="A11" s="1">
        <v>5</v>
      </c>
      <c r="B11" s="1">
        <v>2022</v>
      </c>
      <c r="C11" s="1" t="s">
        <v>42</v>
      </c>
      <c r="D11" s="3">
        <v>44607</v>
      </c>
      <c r="E11" s="1" t="s">
        <v>59</v>
      </c>
      <c r="F11" s="1" t="s">
        <v>49</v>
      </c>
      <c r="G11" s="1" t="s">
        <v>16</v>
      </c>
      <c r="H11" s="1" t="s">
        <v>17</v>
      </c>
      <c r="I11" s="4">
        <v>1</v>
      </c>
      <c r="J11" s="4">
        <f>VLOOKUP(H11,품목리스트!$B$5:$C$15,2,FALSE)</f>
        <v>180000</v>
      </c>
      <c r="K11" s="6">
        <f t="shared" si="0"/>
        <v>180000</v>
      </c>
      <c r="L11" s="6">
        <f t="shared" si="1"/>
        <v>198000</v>
      </c>
      <c r="M11" s="1" t="s">
        <v>41</v>
      </c>
      <c r="N11" s="1" t="s">
        <v>87</v>
      </c>
    </row>
    <row r="12" spans="1:14" ht="18" customHeight="1">
      <c r="A12" s="1">
        <v>6</v>
      </c>
      <c r="B12" s="1">
        <v>2022</v>
      </c>
      <c r="C12" s="1" t="s">
        <v>50</v>
      </c>
      <c r="D12" s="3">
        <v>44635</v>
      </c>
      <c r="E12" s="1" t="s">
        <v>59</v>
      </c>
      <c r="F12" s="1" t="s">
        <v>66</v>
      </c>
      <c r="G12" s="1" t="s">
        <v>16</v>
      </c>
      <c r="H12" s="1" t="s">
        <v>17</v>
      </c>
      <c r="I12" s="4">
        <v>86</v>
      </c>
      <c r="J12" s="4">
        <f>VLOOKUP(H12,품목리스트!$B$5:$C$15,2,FALSE)</f>
        <v>180000</v>
      </c>
      <c r="K12" s="6">
        <f t="shared" si="0"/>
        <v>15480000</v>
      </c>
      <c r="L12" s="6">
        <f t="shared" si="1"/>
        <v>17028000</v>
      </c>
      <c r="M12" s="1" t="s">
        <v>41</v>
      </c>
      <c r="N12" s="1" t="s">
        <v>89</v>
      </c>
    </row>
    <row r="13" spans="1:14" ht="18" customHeight="1">
      <c r="A13" s="1">
        <v>7</v>
      </c>
      <c r="B13" s="1">
        <v>2022</v>
      </c>
      <c r="C13" s="1" t="s">
        <v>50</v>
      </c>
      <c r="D13" s="3">
        <v>44623</v>
      </c>
      <c r="E13" s="1" t="s">
        <v>64</v>
      </c>
      <c r="F13" s="1" t="s">
        <v>47</v>
      </c>
      <c r="G13" s="1" t="s">
        <v>6</v>
      </c>
      <c r="H13" s="1" t="s">
        <v>8</v>
      </c>
      <c r="I13" s="4">
        <v>5</v>
      </c>
      <c r="J13" s="4">
        <f>VLOOKUP(H13,품목리스트!$B$5:$C$15,2,FALSE)</f>
        <v>145000</v>
      </c>
      <c r="K13" s="6">
        <f t="shared" si="0"/>
        <v>725000</v>
      </c>
      <c r="L13" s="6">
        <f t="shared" si="1"/>
        <v>797500</v>
      </c>
      <c r="M13" s="1" t="s">
        <v>41</v>
      </c>
      <c r="N13" s="1" t="s">
        <v>88</v>
      </c>
    </row>
    <row r="14" spans="1:14" ht="18" customHeight="1">
      <c r="A14" s="1">
        <v>8</v>
      </c>
      <c r="B14" s="1">
        <v>2022</v>
      </c>
      <c r="C14" s="1" t="s">
        <v>50</v>
      </c>
      <c r="D14" s="3">
        <v>44633</v>
      </c>
      <c r="E14" s="1" t="s">
        <v>56</v>
      </c>
      <c r="F14" s="1" t="s">
        <v>66</v>
      </c>
      <c r="G14" s="1" t="s">
        <v>12</v>
      </c>
      <c r="H14" s="1" t="s">
        <v>15</v>
      </c>
      <c r="I14" s="4">
        <v>4</v>
      </c>
      <c r="J14" s="4">
        <f>VLOOKUP(H14,품목리스트!$B$5:$C$15,2,FALSE)</f>
        <v>60000</v>
      </c>
      <c r="K14" s="6">
        <f t="shared" si="0"/>
        <v>240000</v>
      </c>
      <c r="L14" s="6">
        <f t="shared" si="1"/>
        <v>264000</v>
      </c>
      <c r="M14" s="1" t="s">
        <v>41</v>
      </c>
      <c r="N14" s="1" t="s">
        <v>89</v>
      </c>
    </row>
    <row r="15" spans="1:14" ht="18" customHeight="1">
      <c r="A15" s="1">
        <v>9</v>
      </c>
      <c r="B15" s="1">
        <v>2022</v>
      </c>
      <c r="C15" s="1" t="s">
        <v>53</v>
      </c>
      <c r="D15" s="3">
        <v>44659</v>
      </c>
      <c r="E15" s="1" t="s">
        <v>36</v>
      </c>
      <c r="F15" s="1" t="s">
        <v>66</v>
      </c>
      <c r="G15" s="1" t="s">
        <v>93</v>
      </c>
      <c r="H15" s="1" t="s">
        <v>10</v>
      </c>
      <c r="I15" s="4">
        <v>68</v>
      </c>
      <c r="J15" s="4">
        <f>VLOOKUP(H15,품목리스트!$B$5:$C$15,2,FALSE)</f>
        <v>4500000</v>
      </c>
      <c r="K15" s="6">
        <f t="shared" si="0"/>
        <v>306000000</v>
      </c>
      <c r="L15" s="6">
        <f t="shared" si="1"/>
        <v>336600000</v>
      </c>
      <c r="M15" s="1" t="s">
        <v>41</v>
      </c>
      <c r="N15" s="1" t="s">
        <v>90</v>
      </c>
    </row>
    <row r="16" spans="1:14" ht="18" customHeight="1">
      <c r="A16" s="1">
        <v>10</v>
      </c>
      <c r="B16" s="1">
        <v>2022</v>
      </c>
      <c r="C16" s="1" t="s">
        <v>53</v>
      </c>
      <c r="D16" s="3">
        <v>44660</v>
      </c>
      <c r="E16" s="1" t="s">
        <v>64</v>
      </c>
      <c r="F16" s="1" t="s">
        <v>71</v>
      </c>
      <c r="G16" s="1" t="s">
        <v>6</v>
      </c>
      <c r="H16" s="1" t="s">
        <v>8</v>
      </c>
      <c r="I16" s="4">
        <v>5</v>
      </c>
      <c r="J16" s="4">
        <f>VLOOKUP(H16,품목리스트!$B$5:$C$15,2,FALSE)</f>
        <v>145000</v>
      </c>
      <c r="K16" s="6">
        <f t="shared" si="0"/>
        <v>725000</v>
      </c>
      <c r="L16" s="6">
        <f t="shared" si="1"/>
        <v>797500</v>
      </c>
      <c r="M16" s="1" t="s">
        <v>38</v>
      </c>
      <c r="N16" s="1" t="s">
        <v>88</v>
      </c>
    </row>
    <row r="17" spans="1:14" ht="18" customHeight="1">
      <c r="A17" s="1">
        <v>11</v>
      </c>
      <c r="B17" s="1">
        <v>2022</v>
      </c>
      <c r="C17" s="1" t="s">
        <v>53</v>
      </c>
      <c r="D17" s="3">
        <v>44658</v>
      </c>
      <c r="E17" s="1" t="s">
        <v>62</v>
      </c>
      <c r="F17" s="1" t="s">
        <v>76</v>
      </c>
      <c r="G17" s="1" t="s">
        <v>93</v>
      </c>
      <c r="H17" s="1" t="s">
        <v>91</v>
      </c>
      <c r="I17" s="4">
        <v>1</v>
      </c>
      <c r="J17" s="4">
        <f>VLOOKUP(H17,품목리스트!$B$5:$C$15,2,FALSE)</f>
        <v>5200000</v>
      </c>
      <c r="K17" s="6">
        <f t="shared" si="0"/>
        <v>5200000</v>
      </c>
      <c r="L17" s="6">
        <f t="shared" si="1"/>
        <v>5720000</v>
      </c>
      <c r="M17" s="1" t="s">
        <v>41</v>
      </c>
      <c r="N17" s="1" t="s">
        <v>89</v>
      </c>
    </row>
    <row r="18" spans="1:14" ht="18" customHeight="1">
      <c r="A18" s="1">
        <v>12</v>
      </c>
      <c r="B18" s="1">
        <v>2022</v>
      </c>
      <c r="C18" s="1" t="s">
        <v>58</v>
      </c>
      <c r="D18" s="3">
        <v>44706</v>
      </c>
      <c r="E18" s="1" t="s">
        <v>62</v>
      </c>
      <c r="F18" s="1" t="s">
        <v>75</v>
      </c>
      <c r="G18" s="1" t="s">
        <v>6</v>
      </c>
      <c r="H18" s="1" t="s">
        <v>8</v>
      </c>
      <c r="I18" s="4">
        <v>80</v>
      </c>
      <c r="J18" s="4">
        <f>VLOOKUP(H18,품목리스트!$B$5:$C$15,2,FALSE)</f>
        <v>145000</v>
      </c>
      <c r="K18" s="6">
        <f t="shared" si="0"/>
        <v>11600000</v>
      </c>
      <c r="L18" s="6">
        <f t="shared" si="1"/>
        <v>12760000</v>
      </c>
      <c r="M18" s="1" t="s">
        <v>41</v>
      </c>
      <c r="N18" s="1" t="s">
        <v>87</v>
      </c>
    </row>
    <row r="19" spans="1:14" ht="18" customHeight="1">
      <c r="A19" s="1">
        <v>13</v>
      </c>
      <c r="B19" s="1">
        <v>2022</v>
      </c>
      <c r="C19" s="1" t="s">
        <v>58</v>
      </c>
      <c r="D19" s="3">
        <v>44696</v>
      </c>
      <c r="E19" s="1" t="s">
        <v>64</v>
      </c>
      <c r="F19" s="1" t="s">
        <v>52</v>
      </c>
      <c r="G19" s="1" t="s">
        <v>93</v>
      </c>
      <c r="H19" s="1" t="s">
        <v>11</v>
      </c>
      <c r="I19" s="4">
        <v>5</v>
      </c>
      <c r="J19" s="4">
        <f>VLOOKUP(H19,품목리스트!$B$5:$C$15,2,FALSE)</f>
        <v>6000000</v>
      </c>
      <c r="K19" s="6">
        <f t="shared" si="0"/>
        <v>30000000</v>
      </c>
      <c r="L19" s="6">
        <f t="shared" si="1"/>
        <v>33000000</v>
      </c>
      <c r="M19" s="1" t="s">
        <v>41</v>
      </c>
      <c r="N19" s="1" t="s">
        <v>88</v>
      </c>
    </row>
    <row r="20" spans="1:14" ht="18" customHeight="1">
      <c r="A20" s="1">
        <v>14</v>
      </c>
      <c r="B20" s="1">
        <v>2022</v>
      </c>
      <c r="C20" s="1" t="s">
        <v>61</v>
      </c>
      <c r="D20" s="3">
        <v>44736</v>
      </c>
      <c r="E20" s="1" t="s">
        <v>64</v>
      </c>
      <c r="F20" s="1" t="s">
        <v>73</v>
      </c>
      <c r="G20" s="1" t="s">
        <v>93</v>
      </c>
      <c r="H20" s="1" t="s">
        <v>11</v>
      </c>
      <c r="I20" s="4">
        <v>62</v>
      </c>
      <c r="J20" s="4">
        <f>VLOOKUP(H20,품목리스트!$B$5:$C$15,2,FALSE)</f>
        <v>6000000</v>
      </c>
      <c r="K20" s="6">
        <f t="shared" si="0"/>
        <v>372000000</v>
      </c>
      <c r="L20" s="6">
        <f t="shared" si="1"/>
        <v>409200000</v>
      </c>
      <c r="M20" s="1" t="s">
        <v>38</v>
      </c>
      <c r="N20" s="1" t="s">
        <v>89</v>
      </c>
    </row>
    <row r="21" spans="1:14" ht="18" customHeight="1">
      <c r="A21" s="1">
        <v>15</v>
      </c>
      <c r="B21" s="1">
        <v>2022</v>
      </c>
      <c r="C21" s="1" t="s">
        <v>61</v>
      </c>
      <c r="D21" s="3">
        <v>44725</v>
      </c>
      <c r="E21" s="1" t="s">
        <v>51</v>
      </c>
      <c r="F21" s="1" t="s">
        <v>49</v>
      </c>
      <c r="G21" s="1" t="s">
        <v>93</v>
      </c>
      <c r="H21" s="1" t="s">
        <v>10</v>
      </c>
      <c r="I21" s="4">
        <v>5</v>
      </c>
      <c r="J21" s="4">
        <f>VLOOKUP(H21,품목리스트!$B$5:$C$15,2,FALSE)</f>
        <v>4500000</v>
      </c>
      <c r="K21" s="6">
        <f t="shared" si="0"/>
        <v>22500000</v>
      </c>
      <c r="L21" s="6">
        <f t="shared" si="1"/>
        <v>24750000</v>
      </c>
      <c r="M21" s="1" t="s">
        <v>41</v>
      </c>
      <c r="N21" s="1" t="s">
        <v>89</v>
      </c>
    </row>
    <row r="22" spans="1:14" ht="18" customHeight="1">
      <c r="A22" s="1">
        <v>16</v>
      </c>
      <c r="B22" s="1">
        <v>2022</v>
      </c>
      <c r="C22" s="1" t="s">
        <v>61</v>
      </c>
      <c r="D22" s="3">
        <v>44738</v>
      </c>
      <c r="E22" s="1" t="s">
        <v>56</v>
      </c>
      <c r="F22" s="1" t="s">
        <v>57</v>
      </c>
      <c r="G22" s="1" t="s">
        <v>16</v>
      </c>
      <c r="H22" s="1" t="s">
        <v>17</v>
      </c>
      <c r="I22" s="4">
        <v>1</v>
      </c>
      <c r="J22" s="4">
        <f>VLOOKUP(H22,품목리스트!$B$5:$C$15,2,FALSE)</f>
        <v>180000</v>
      </c>
      <c r="K22" s="6">
        <f t="shared" si="0"/>
        <v>180000</v>
      </c>
      <c r="L22" s="6">
        <f t="shared" si="1"/>
        <v>198000</v>
      </c>
      <c r="M22" s="1" t="s">
        <v>38</v>
      </c>
      <c r="N22" s="1" t="s">
        <v>89</v>
      </c>
    </row>
    <row r="23" spans="1:14" ht="18" customHeight="1">
      <c r="A23" s="1">
        <v>17</v>
      </c>
      <c r="B23" s="1">
        <v>2022</v>
      </c>
      <c r="C23" s="1" t="s">
        <v>61</v>
      </c>
      <c r="D23" s="3">
        <v>44717</v>
      </c>
      <c r="E23" s="1" t="s">
        <v>67</v>
      </c>
      <c r="F23" s="1" t="s">
        <v>73</v>
      </c>
      <c r="G23" s="1" t="s">
        <v>93</v>
      </c>
      <c r="H23" s="1" t="s">
        <v>11</v>
      </c>
      <c r="I23" s="4">
        <v>3</v>
      </c>
      <c r="J23" s="4">
        <f>VLOOKUP(H23,품목리스트!$B$5:$C$15,2,FALSE)</f>
        <v>6000000</v>
      </c>
      <c r="K23" s="6">
        <f t="shared" si="0"/>
        <v>18000000</v>
      </c>
      <c r="L23" s="6">
        <f t="shared" si="1"/>
        <v>19800000</v>
      </c>
      <c r="M23" s="1" t="s">
        <v>38</v>
      </c>
      <c r="N23" s="1" t="s">
        <v>89</v>
      </c>
    </row>
    <row r="24" spans="1:14" ht="18" customHeight="1">
      <c r="A24" s="1">
        <v>18</v>
      </c>
      <c r="B24" s="1">
        <v>2022</v>
      </c>
      <c r="C24" s="1" t="s">
        <v>63</v>
      </c>
      <c r="D24" s="3">
        <v>44749</v>
      </c>
      <c r="E24" s="1" t="s">
        <v>43</v>
      </c>
      <c r="F24" s="1" t="s">
        <v>76</v>
      </c>
      <c r="G24" s="1" t="s">
        <v>6</v>
      </c>
      <c r="H24" s="1" t="s">
        <v>9</v>
      </c>
      <c r="I24" s="4">
        <v>66</v>
      </c>
      <c r="J24" s="4">
        <f>VLOOKUP(H24,품목리스트!$B$5:$C$15,2,FALSE)</f>
        <v>175000</v>
      </c>
      <c r="K24" s="6">
        <f t="shared" si="0"/>
        <v>11550000</v>
      </c>
      <c r="L24" s="6">
        <f t="shared" si="1"/>
        <v>12705000</v>
      </c>
      <c r="M24" s="1" t="s">
        <v>41</v>
      </c>
      <c r="N24" s="1" t="s">
        <v>88</v>
      </c>
    </row>
    <row r="25" spans="1:14" ht="18" customHeight="1">
      <c r="A25" s="1">
        <v>19</v>
      </c>
      <c r="B25" s="1">
        <v>2022</v>
      </c>
      <c r="C25" s="1" t="s">
        <v>63</v>
      </c>
      <c r="D25" s="3">
        <v>44745</v>
      </c>
      <c r="E25" s="1" t="s">
        <v>64</v>
      </c>
      <c r="F25" s="1" t="s">
        <v>75</v>
      </c>
      <c r="G25" s="1" t="s">
        <v>6</v>
      </c>
      <c r="H25" s="1" t="s">
        <v>9</v>
      </c>
      <c r="I25" s="4">
        <v>4</v>
      </c>
      <c r="J25" s="4">
        <f>VLOOKUP(H25,품목리스트!$B$5:$C$15,2,FALSE)</f>
        <v>175000</v>
      </c>
      <c r="K25" s="6">
        <f t="shared" si="0"/>
        <v>700000</v>
      </c>
      <c r="L25" s="6">
        <f t="shared" si="1"/>
        <v>770000</v>
      </c>
      <c r="M25" s="1" t="s">
        <v>41</v>
      </c>
      <c r="N25" s="1" t="s">
        <v>88</v>
      </c>
    </row>
    <row r="26" spans="1:14" ht="18" customHeight="1">
      <c r="A26" s="1">
        <v>20</v>
      </c>
      <c r="B26" s="1">
        <v>2022</v>
      </c>
      <c r="C26" s="1" t="s">
        <v>65</v>
      </c>
      <c r="D26" s="3">
        <v>44793</v>
      </c>
      <c r="E26" s="1" t="s">
        <v>36</v>
      </c>
      <c r="F26" s="1" t="s">
        <v>60</v>
      </c>
      <c r="G26" s="1" t="s">
        <v>6</v>
      </c>
      <c r="H26" s="1" t="s">
        <v>9</v>
      </c>
      <c r="I26" s="4">
        <v>80</v>
      </c>
      <c r="J26" s="4">
        <f>VLOOKUP(H26,품목리스트!$B$5:$C$15,2,FALSE)</f>
        <v>175000</v>
      </c>
      <c r="K26" s="6">
        <f t="shared" si="0"/>
        <v>14000000</v>
      </c>
      <c r="L26" s="6">
        <f t="shared" si="1"/>
        <v>15400000</v>
      </c>
      <c r="M26" s="1" t="s">
        <v>41</v>
      </c>
      <c r="N26" s="1" t="s">
        <v>89</v>
      </c>
    </row>
    <row r="27" spans="1:14" ht="18" customHeight="1">
      <c r="A27" s="1">
        <v>21</v>
      </c>
      <c r="B27" s="1">
        <v>2022</v>
      </c>
      <c r="C27" s="1" t="s">
        <v>65</v>
      </c>
      <c r="D27" s="3">
        <v>44787</v>
      </c>
      <c r="E27" s="1" t="s">
        <v>56</v>
      </c>
      <c r="F27" s="1" t="s">
        <v>44</v>
      </c>
      <c r="G27" s="1" t="s">
        <v>16</v>
      </c>
      <c r="H27" s="1" t="s">
        <v>17</v>
      </c>
      <c r="I27" s="4">
        <v>5</v>
      </c>
      <c r="J27" s="4">
        <f>VLOOKUP(H27,품목리스트!$B$5:$C$15,2,FALSE)</f>
        <v>180000</v>
      </c>
      <c r="K27" s="6">
        <f t="shared" si="0"/>
        <v>900000</v>
      </c>
      <c r="L27" s="6">
        <f t="shared" si="1"/>
        <v>990000</v>
      </c>
      <c r="M27" s="1" t="s">
        <v>41</v>
      </c>
      <c r="N27" s="1" t="s">
        <v>90</v>
      </c>
    </row>
    <row r="28" spans="1:14" ht="18" customHeight="1">
      <c r="A28" s="1">
        <v>22</v>
      </c>
      <c r="B28" s="1">
        <v>2022</v>
      </c>
      <c r="C28" s="1" t="s">
        <v>65</v>
      </c>
      <c r="D28" s="3">
        <v>44797</v>
      </c>
      <c r="E28" s="1" t="s">
        <v>56</v>
      </c>
      <c r="F28" s="1" t="s">
        <v>71</v>
      </c>
      <c r="G28" s="1" t="s">
        <v>93</v>
      </c>
      <c r="H28" s="1" t="s">
        <v>11</v>
      </c>
      <c r="I28" s="4">
        <v>1</v>
      </c>
      <c r="J28" s="4">
        <f>VLOOKUP(H28,품목리스트!$B$5:$C$15,2,FALSE)</f>
        <v>6000000</v>
      </c>
      <c r="K28" s="6">
        <f t="shared" si="0"/>
        <v>6000000</v>
      </c>
      <c r="L28" s="6">
        <f t="shared" si="1"/>
        <v>6600000</v>
      </c>
      <c r="M28" s="1" t="s">
        <v>38</v>
      </c>
      <c r="N28" s="1" t="s">
        <v>88</v>
      </c>
    </row>
    <row r="29" spans="1:14" ht="18" customHeight="1">
      <c r="A29" s="1">
        <v>23</v>
      </c>
      <c r="B29" s="1">
        <v>2022</v>
      </c>
      <c r="C29" s="1" t="s">
        <v>68</v>
      </c>
      <c r="D29" s="3">
        <v>44823</v>
      </c>
      <c r="E29" s="1" t="s">
        <v>36</v>
      </c>
      <c r="F29" s="1" t="s">
        <v>49</v>
      </c>
      <c r="G29" s="1" t="s">
        <v>6</v>
      </c>
      <c r="H29" s="1" t="s">
        <v>9</v>
      </c>
      <c r="I29" s="4">
        <v>99</v>
      </c>
      <c r="J29" s="4">
        <f>VLOOKUP(H29,품목리스트!$B$5:$C$15,2,FALSE)</f>
        <v>175000</v>
      </c>
      <c r="K29" s="6">
        <f t="shared" si="0"/>
        <v>17325000</v>
      </c>
      <c r="L29" s="6">
        <f t="shared" si="1"/>
        <v>19057500</v>
      </c>
      <c r="M29" s="1" t="s">
        <v>41</v>
      </c>
      <c r="N29" s="1" t="s">
        <v>87</v>
      </c>
    </row>
    <row r="30" spans="1:14" ht="18" customHeight="1">
      <c r="A30" s="1">
        <v>24</v>
      </c>
      <c r="B30" s="1">
        <v>2022</v>
      </c>
      <c r="C30" s="1" t="s">
        <v>68</v>
      </c>
      <c r="D30" s="3">
        <v>44812</v>
      </c>
      <c r="E30" s="1" t="s">
        <v>56</v>
      </c>
      <c r="F30" s="1" t="s">
        <v>44</v>
      </c>
      <c r="G30" s="1" t="s">
        <v>12</v>
      </c>
      <c r="H30" s="1" t="s">
        <v>14</v>
      </c>
      <c r="I30" s="4">
        <v>5</v>
      </c>
      <c r="J30" s="4">
        <f>VLOOKUP(H30,품목리스트!$B$5:$C$15,2,FALSE)</f>
        <v>4800000</v>
      </c>
      <c r="K30" s="6">
        <f t="shared" si="0"/>
        <v>24000000</v>
      </c>
      <c r="L30" s="6">
        <f t="shared" si="1"/>
        <v>26400000</v>
      </c>
      <c r="M30" s="1" t="s">
        <v>41</v>
      </c>
      <c r="N30" s="1" t="s">
        <v>89</v>
      </c>
    </row>
    <row r="31" spans="1:14" ht="18" customHeight="1">
      <c r="A31" s="1">
        <v>25</v>
      </c>
      <c r="B31" s="1">
        <v>2022</v>
      </c>
      <c r="C31" s="1" t="s">
        <v>68</v>
      </c>
      <c r="D31" s="3">
        <v>44814</v>
      </c>
      <c r="E31" s="1" t="s">
        <v>62</v>
      </c>
      <c r="F31" s="1" t="s">
        <v>49</v>
      </c>
      <c r="G31" s="1" t="s">
        <v>12</v>
      </c>
      <c r="H31" s="1" t="s">
        <v>14</v>
      </c>
      <c r="I31" s="4">
        <v>5</v>
      </c>
      <c r="J31" s="4">
        <f>VLOOKUP(H31,품목리스트!$B$5:$C$15,2,FALSE)</f>
        <v>4800000</v>
      </c>
      <c r="K31" s="6">
        <f t="shared" si="0"/>
        <v>24000000</v>
      </c>
      <c r="L31" s="6">
        <f t="shared" si="1"/>
        <v>26400000</v>
      </c>
      <c r="M31" s="1" t="s">
        <v>41</v>
      </c>
      <c r="N31" s="1" t="s">
        <v>87</v>
      </c>
    </row>
    <row r="32" spans="1:14" ht="18" customHeight="1">
      <c r="A32" s="1">
        <v>26</v>
      </c>
      <c r="B32" s="1">
        <v>2022</v>
      </c>
      <c r="C32" s="1" t="s">
        <v>70</v>
      </c>
      <c r="D32" s="3">
        <v>44852</v>
      </c>
      <c r="E32" s="1" t="s">
        <v>36</v>
      </c>
      <c r="F32" s="1" t="s">
        <v>75</v>
      </c>
      <c r="G32" s="1" t="s">
        <v>93</v>
      </c>
      <c r="H32" s="1" t="s">
        <v>10</v>
      </c>
      <c r="I32" s="4">
        <v>62</v>
      </c>
      <c r="J32" s="4">
        <f>VLOOKUP(H32,품목리스트!$B$5:$C$15,2,FALSE)</f>
        <v>4500000</v>
      </c>
      <c r="K32" s="6">
        <f t="shared" si="0"/>
        <v>279000000</v>
      </c>
      <c r="L32" s="6">
        <f t="shared" si="1"/>
        <v>306900000</v>
      </c>
      <c r="M32" s="1" t="s">
        <v>41</v>
      </c>
      <c r="N32" s="1" t="s">
        <v>87</v>
      </c>
    </row>
    <row r="33" spans="1:14" ht="18" customHeight="1">
      <c r="A33" s="1">
        <v>27</v>
      </c>
      <c r="B33" s="1">
        <v>2022</v>
      </c>
      <c r="C33" s="1" t="s">
        <v>70</v>
      </c>
      <c r="D33" s="3">
        <v>44853</v>
      </c>
      <c r="E33" s="1" t="s">
        <v>59</v>
      </c>
      <c r="F33" s="1" t="s">
        <v>57</v>
      </c>
      <c r="G33" s="1" t="s">
        <v>12</v>
      </c>
      <c r="H33" s="1" t="s">
        <v>13</v>
      </c>
      <c r="I33" s="4">
        <v>6</v>
      </c>
      <c r="J33" s="4">
        <f>VLOOKUP(H33,품목리스트!$B$5:$C$15,2,FALSE)</f>
        <v>4200000</v>
      </c>
      <c r="K33" s="6">
        <f t="shared" si="0"/>
        <v>25200000</v>
      </c>
      <c r="L33" s="6">
        <f t="shared" si="1"/>
        <v>27720000</v>
      </c>
      <c r="M33" s="1" t="s">
        <v>38</v>
      </c>
      <c r="N33" s="1" t="s">
        <v>89</v>
      </c>
    </row>
    <row r="34" spans="1:14" ht="18" customHeight="1">
      <c r="A34" s="1">
        <v>28</v>
      </c>
      <c r="B34" s="1">
        <v>2022</v>
      </c>
      <c r="C34" s="1" t="s">
        <v>70</v>
      </c>
      <c r="D34" s="3">
        <v>44850</v>
      </c>
      <c r="E34" s="1" t="s">
        <v>67</v>
      </c>
      <c r="F34" s="1" t="s">
        <v>60</v>
      </c>
      <c r="G34" s="1" t="s">
        <v>12</v>
      </c>
      <c r="H34" s="1" t="s">
        <v>15</v>
      </c>
      <c r="I34" s="4">
        <v>1</v>
      </c>
      <c r="J34" s="4">
        <f>VLOOKUP(H34,품목리스트!$B$5:$C$15,2,FALSE)</f>
        <v>60000</v>
      </c>
      <c r="K34" s="6">
        <f t="shared" si="0"/>
        <v>60000</v>
      </c>
      <c r="L34" s="6">
        <f t="shared" si="1"/>
        <v>66000</v>
      </c>
      <c r="M34" s="1" t="s">
        <v>41</v>
      </c>
      <c r="N34" s="1" t="s">
        <v>88</v>
      </c>
    </row>
    <row r="35" spans="1:14" ht="18" customHeight="1">
      <c r="A35" s="1">
        <v>29</v>
      </c>
      <c r="B35" s="1">
        <v>2022</v>
      </c>
      <c r="C35" s="1" t="s">
        <v>72</v>
      </c>
      <c r="D35" s="3">
        <v>44870</v>
      </c>
      <c r="E35" s="1" t="s">
        <v>51</v>
      </c>
      <c r="F35" s="1" t="s">
        <v>69</v>
      </c>
      <c r="G35" s="1" t="s">
        <v>6</v>
      </c>
      <c r="H35" s="1" t="s">
        <v>7</v>
      </c>
      <c r="I35" s="4">
        <v>78</v>
      </c>
      <c r="J35" s="4">
        <f>VLOOKUP(H35,품목리스트!$B$5:$C$15,2,FALSE)</f>
        <v>130000</v>
      </c>
      <c r="K35" s="6">
        <f t="shared" si="0"/>
        <v>10140000</v>
      </c>
      <c r="L35" s="6">
        <f t="shared" si="1"/>
        <v>11154000</v>
      </c>
      <c r="M35" s="1" t="s">
        <v>41</v>
      </c>
      <c r="N35" s="1" t="s">
        <v>89</v>
      </c>
    </row>
    <row r="36" spans="1:14" ht="18" customHeight="1">
      <c r="A36" s="1">
        <v>30</v>
      </c>
      <c r="B36" s="1">
        <v>2022</v>
      </c>
      <c r="C36" s="1" t="s">
        <v>72</v>
      </c>
      <c r="D36" s="3">
        <v>44875</v>
      </c>
      <c r="E36" s="1" t="s">
        <v>59</v>
      </c>
      <c r="F36" s="1" t="s">
        <v>54</v>
      </c>
      <c r="G36" s="1" t="s">
        <v>12</v>
      </c>
      <c r="H36" s="1" t="s">
        <v>15</v>
      </c>
      <c r="I36" s="4">
        <v>5</v>
      </c>
      <c r="J36" s="4">
        <f>VLOOKUP(H36,품목리스트!$B$5:$C$15,2,FALSE)</f>
        <v>60000</v>
      </c>
      <c r="K36" s="6">
        <f t="shared" si="0"/>
        <v>300000</v>
      </c>
      <c r="L36" s="6">
        <f t="shared" si="1"/>
        <v>330000</v>
      </c>
      <c r="M36" s="1" t="s">
        <v>38</v>
      </c>
      <c r="N36" s="1" t="s">
        <v>87</v>
      </c>
    </row>
    <row r="37" spans="1:14" ht="18" customHeight="1">
      <c r="A37" s="1">
        <v>31</v>
      </c>
      <c r="B37" s="1">
        <v>2022</v>
      </c>
      <c r="C37" s="1" t="s">
        <v>74</v>
      </c>
      <c r="D37" s="3">
        <v>44910</v>
      </c>
      <c r="E37" s="1" t="s">
        <v>56</v>
      </c>
      <c r="F37" s="1" t="s">
        <v>54</v>
      </c>
      <c r="G37" s="1" t="s">
        <v>6</v>
      </c>
      <c r="H37" s="1" t="s">
        <v>9</v>
      </c>
      <c r="I37" s="4">
        <v>77</v>
      </c>
      <c r="J37" s="4">
        <f>VLOOKUP(H37,품목리스트!$B$5:$C$15,2,FALSE)</f>
        <v>175000</v>
      </c>
      <c r="K37" s="6">
        <f t="shared" si="0"/>
        <v>13475000</v>
      </c>
      <c r="L37" s="6">
        <f t="shared" si="1"/>
        <v>14822500</v>
      </c>
      <c r="M37" s="1" t="s">
        <v>38</v>
      </c>
      <c r="N37" s="1" t="s">
        <v>87</v>
      </c>
    </row>
    <row r="38" spans="1:14" ht="18" customHeight="1">
      <c r="A38" s="1">
        <v>32</v>
      </c>
      <c r="B38" s="1">
        <v>2022</v>
      </c>
      <c r="C38" s="1" t="s">
        <v>74</v>
      </c>
      <c r="D38" s="3">
        <v>44906</v>
      </c>
      <c r="E38" s="1" t="s">
        <v>51</v>
      </c>
      <c r="F38" s="1" t="s">
        <v>73</v>
      </c>
      <c r="G38" s="1" t="s">
        <v>93</v>
      </c>
      <c r="H38" s="1" t="s">
        <v>10</v>
      </c>
      <c r="I38" s="4">
        <v>5</v>
      </c>
      <c r="J38" s="4">
        <f>VLOOKUP(H38,품목리스트!$B$5:$C$15,2,FALSE)</f>
        <v>4500000</v>
      </c>
      <c r="K38" s="6">
        <f t="shared" si="0"/>
        <v>22500000</v>
      </c>
      <c r="L38" s="6">
        <f t="shared" si="1"/>
        <v>24750000</v>
      </c>
      <c r="M38" s="1" t="s">
        <v>38</v>
      </c>
      <c r="N38" s="1" t="s">
        <v>87</v>
      </c>
    </row>
    <row r="39" spans="1:14" ht="18" customHeight="1">
      <c r="A39" s="1">
        <v>33</v>
      </c>
      <c r="B39" s="1">
        <v>2022</v>
      </c>
      <c r="C39" s="1" t="s">
        <v>74</v>
      </c>
      <c r="D39" s="3">
        <v>44920</v>
      </c>
      <c r="E39" s="1" t="s">
        <v>51</v>
      </c>
      <c r="F39" s="1" t="s">
        <v>49</v>
      </c>
      <c r="G39" s="1" t="s">
        <v>6</v>
      </c>
      <c r="H39" s="1" t="s">
        <v>7</v>
      </c>
      <c r="I39" s="4">
        <v>1</v>
      </c>
      <c r="J39" s="4">
        <f>VLOOKUP(H39,품목리스트!$B$5:$C$15,2,FALSE)</f>
        <v>130000</v>
      </c>
      <c r="K39" s="6">
        <f t="shared" ref="K39:K70" si="2">ROUND(I39*J39,0)</f>
        <v>130000</v>
      </c>
      <c r="L39" s="6">
        <f t="shared" ref="L39:L70" si="3">ROUND(K39*(1+$B$5),0)</f>
        <v>143000</v>
      </c>
      <c r="M39" s="1" t="s">
        <v>41</v>
      </c>
      <c r="N39" s="1" t="s">
        <v>88</v>
      </c>
    </row>
    <row r="40" spans="1:14" ht="18" customHeight="1">
      <c r="A40" s="1">
        <v>34</v>
      </c>
      <c r="B40" s="1">
        <v>2022</v>
      </c>
      <c r="C40" s="1" t="s">
        <v>74</v>
      </c>
      <c r="D40" s="3">
        <v>44913</v>
      </c>
      <c r="E40" s="1" t="s">
        <v>59</v>
      </c>
      <c r="F40" s="1" t="s">
        <v>49</v>
      </c>
      <c r="G40" s="1" t="s">
        <v>6</v>
      </c>
      <c r="H40" s="1" t="s">
        <v>7</v>
      </c>
      <c r="I40" s="4">
        <v>3</v>
      </c>
      <c r="J40" s="4">
        <f>VLOOKUP(H40,품목리스트!$B$5:$C$15,2,FALSE)</f>
        <v>130000</v>
      </c>
      <c r="K40" s="6">
        <f t="shared" si="2"/>
        <v>390000</v>
      </c>
      <c r="L40" s="6">
        <f t="shared" si="3"/>
        <v>429000</v>
      </c>
      <c r="M40" s="1" t="s">
        <v>41</v>
      </c>
      <c r="N40" s="1" t="s">
        <v>87</v>
      </c>
    </row>
    <row r="41" spans="1:14" ht="18" customHeight="1">
      <c r="A41" s="1">
        <v>35</v>
      </c>
      <c r="B41" s="1">
        <v>2023</v>
      </c>
      <c r="C41" s="1" t="s">
        <v>35</v>
      </c>
      <c r="D41" s="3">
        <v>44930</v>
      </c>
      <c r="E41" s="1" t="s">
        <v>36</v>
      </c>
      <c r="F41" s="1" t="s">
        <v>75</v>
      </c>
      <c r="G41" s="1" t="s">
        <v>12</v>
      </c>
      <c r="H41" s="1" t="s">
        <v>15</v>
      </c>
      <c r="I41" s="4">
        <v>63</v>
      </c>
      <c r="J41" s="4">
        <f>VLOOKUP(H41,품목리스트!$B$5:$C$15,2,FALSE)</f>
        <v>60000</v>
      </c>
      <c r="K41" s="6">
        <f t="shared" si="2"/>
        <v>3780000</v>
      </c>
      <c r="L41" s="6">
        <f t="shared" si="3"/>
        <v>4158000</v>
      </c>
      <c r="M41" s="1" t="s">
        <v>41</v>
      </c>
      <c r="N41" s="1" t="s">
        <v>87</v>
      </c>
    </row>
    <row r="42" spans="1:14" ht="18" customHeight="1">
      <c r="A42" s="1">
        <v>36</v>
      </c>
      <c r="B42" s="1">
        <v>2023</v>
      </c>
      <c r="C42" s="1" t="s">
        <v>35</v>
      </c>
      <c r="D42" s="3">
        <v>44951</v>
      </c>
      <c r="E42" s="1" t="s">
        <v>43</v>
      </c>
      <c r="F42" s="1" t="s">
        <v>73</v>
      </c>
      <c r="G42" s="1" t="s">
        <v>16</v>
      </c>
      <c r="H42" s="1" t="s">
        <v>17</v>
      </c>
      <c r="I42" s="4">
        <v>4</v>
      </c>
      <c r="J42" s="4">
        <f>VLOOKUP(H42,품목리스트!$B$5:$C$15,2,FALSE)</f>
        <v>180000</v>
      </c>
      <c r="K42" s="6">
        <f t="shared" si="2"/>
        <v>720000</v>
      </c>
      <c r="L42" s="6">
        <f t="shared" si="3"/>
        <v>792000</v>
      </c>
      <c r="M42" s="1" t="s">
        <v>38</v>
      </c>
      <c r="N42" s="1" t="s">
        <v>90</v>
      </c>
    </row>
    <row r="43" spans="1:14" ht="18" customHeight="1">
      <c r="A43" s="1">
        <v>37</v>
      </c>
      <c r="B43" s="1">
        <v>2023</v>
      </c>
      <c r="C43" s="1" t="s">
        <v>42</v>
      </c>
      <c r="D43" s="3">
        <v>44966</v>
      </c>
      <c r="E43" s="1" t="s">
        <v>43</v>
      </c>
      <c r="F43" s="1" t="s">
        <v>44</v>
      </c>
      <c r="G43" s="1" t="s">
        <v>6</v>
      </c>
      <c r="H43" s="1" t="s">
        <v>7</v>
      </c>
      <c r="I43" s="4">
        <v>89</v>
      </c>
      <c r="J43" s="4">
        <f>VLOOKUP(H43,품목리스트!$B$5:$C$15,2,FALSE)</f>
        <v>130000</v>
      </c>
      <c r="K43" s="6">
        <f t="shared" si="2"/>
        <v>11570000</v>
      </c>
      <c r="L43" s="6">
        <f t="shared" si="3"/>
        <v>12727000</v>
      </c>
      <c r="M43" s="1" t="s">
        <v>41</v>
      </c>
      <c r="N43" s="1" t="s">
        <v>88</v>
      </c>
    </row>
    <row r="44" spans="1:14" ht="18" customHeight="1">
      <c r="A44" s="1">
        <v>38</v>
      </c>
      <c r="B44" s="1">
        <v>2023</v>
      </c>
      <c r="C44" s="1" t="s">
        <v>42</v>
      </c>
      <c r="D44" s="3">
        <v>44981</v>
      </c>
      <c r="E44" s="1" t="s">
        <v>64</v>
      </c>
      <c r="F44" s="1" t="s">
        <v>71</v>
      </c>
      <c r="G44" s="1" t="s">
        <v>93</v>
      </c>
      <c r="H44" s="1" t="s">
        <v>91</v>
      </c>
      <c r="I44" s="4">
        <v>5</v>
      </c>
      <c r="J44" s="4">
        <f>VLOOKUP(H44,품목리스트!$B$5:$C$15,2,FALSE)</f>
        <v>5200000</v>
      </c>
      <c r="K44" s="6">
        <f t="shared" si="2"/>
        <v>26000000</v>
      </c>
      <c r="L44" s="6">
        <f t="shared" si="3"/>
        <v>28600000</v>
      </c>
      <c r="M44" s="1" t="s">
        <v>38</v>
      </c>
      <c r="N44" s="1" t="s">
        <v>90</v>
      </c>
    </row>
    <row r="45" spans="1:14" ht="18" customHeight="1">
      <c r="A45" s="1">
        <v>39</v>
      </c>
      <c r="B45" s="1">
        <v>2023</v>
      </c>
      <c r="C45" s="1" t="s">
        <v>42</v>
      </c>
      <c r="D45" s="3">
        <v>44981</v>
      </c>
      <c r="E45" s="1" t="s">
        <v>59</v>
      </c>
      <c r="F45" s="1" t="s">
        <v>47</v>
      </c>
      <c r="G45" s="1" t="s">
        <v>12</v>
      </c>
      <c r="H45" s="1" t="s">
        <v>14</v>
      </c>
      <c r="I45" s="4">
        <v>1</v>
      </c>
      <c r="J45" s="4">
        <f>VLOOKUP(H45,품목리스트!$B$5:$C$15,2,FALSE)</f>
        <v>4800000</v>
      </c>
      <c r="K45" s="6">
        <f t="shared" si="2"/>
        <v>4800000</v>
      </c>
      <c r="L45" s="6">
        <f t="shared" si="3"/>
        <v>5280000</v>
      </c>
      <c r="M45" s="1" t="s">
        <v>41</v>
      </c>
      <c r="N45" s="1" t="s">
        <v>89</v>
      </c>
    </row>
    <row r="46" spans="1:14" ht="18" customHeight="1">
      <c r="A46" s="1">
        <v>40</v>
      </c>
      <c r="B46" s="1">
        <v>2023</v>
      </c>
      <c r="C46" s="1" t="s">
        <v>50</v>
      </c>
      <c r="D46" s="3">
        <v>45003</v>
      </c>
      <c r="E46" s="1" t="s">
        <v>64</v>
      </c>
      <c r="F46" s="1" t="s">
        <v>66</v>
      </c>
      <c r="G46" s="1" t="s">
        <v>12</v>
      </c>
      <c r="H46" s="1" t="s">
        <v>15</v>
      </c>
      <c r="I46" s="4">
        <v>91</v>
      </c>
      <c r="J46" s="4">
        <f>VLOOKUP(H46,품목리스트!$B$5:$C$15,2,FALSE)</f>
        <v>60000</v>
      </c>
      <c r="K46" s="6">
        <f t="shared" si="2"/>
        <v>5460000</v>
      </c>
      <c r="L46" s="6">
        <f t="shared" si="3"/>
        <v>6006000</v>
      </c>
      <c r="M46" s="1" t="s">
        <v>41</v>
      </c>
      <c r="N46" s="1" t="s">
        <v>89</v>
      </c>
    </row>
    <row r="47" spans="1:14" ht="18" customHeight="1">
      <c r="A47" s="1">
        <v>41</v>
      </c>
      <c r="B47" s="1">
        <v>2023</v>
      </c>
      <c r="C47" s="1" t="s">
        <v>50</v>
      </c>
      <c r="D47" s="3">
        <v>44995</v>
      </c>
      <c r="E47" s="1" t="s">
        <v>64</v>
      </c>
      <c r="F47" s="1" t="s">
        <v>66</v>
      </c>
      <c r="G47" s="1" t="s">
        <v>6</v>
      </c>
      <c r="H47" s="1" t="s">
        <v>7</v>
      </c>
      <c r="I47" s="4">
        <v>6</v>
      </c>
      <c r="J47" s="4">
        <f>VLOOKUP(H47,품목리스트!$B$5:$C$15,2,FALSE)</f>
        <v>130000</v>
      </c>
      <c r="K47" s="6">
        <f t="shared" si="2"/>
        <v>780000</v>
      </c>
      <c r="L47" s="6">
        <f t="shared" si="3"/>
        <v>858000</v>
      </c>
      <c r="M47" s="1" t="s">
        <v>41</v>
      </c>
      <c r="N47" s="1" t="s">
        <v>90</v>
      </c>
    </row>
    <row r="48" spans="1:14" ht="18" customHeight="1">
      <c r="A48" s="1">
        <v>42</v>
      </c>
      <c r="B48" s="1">
        <v>2023</v>
      </c>
      <c r="C48" s="1" t="s">
        <v>50</v>
      </c>
      <c r="D48" s="3">
        <v>45001</v>
      </c>
      <c r="E48" s="1" t="s">
        <v>64</v>
      </c>
      <c r="F48" s="1" t="s">
        <v>40</v>
      </c>
      <c r="G48" s="1" t="s">
        <v>12</v>
      </c>
      <c r="H48" s="1" t="s">
        <v>14</v>
      </c>
      <c r="I48" s="4">
        <v>4</v>
      </c>
      <c r="J48" s="4">
        <f>VLOOKUP(H48,품목리스트!$B$5:$C$15,2,FALSE)</f>
        <v>4800000</v>
      </c>
      <c r="K48" s="6">
        <f t="shared" si="2"/>
        <v>19200000</v>
      </c>
      <c r="L48" s="6">
        <f t="shared" si="3"/>
        <v>21120000</v>
      </c>
      <c r="M48" s="1" t="s">
        <v>41</v>
      </c>
      <c r="N48" s="1" t="s">
        <v>89</v>
      </c>
    </row>
    <row r="49" spans="1:14" ht="18" customHeight="1">
      <c r="A49" s="1">
        <v>43</v>
      </c>
      <c r="B49" s="1">
        <v>2023</v>
      </c>
      <c r="C49" s="1" t="s">
        <v>53</v>
      </c>
      <c r="D49" s="3">
        <v>45034</v>
      </c>
      <c r="E49" s="1" t="s">
        <v>62</v>
      </c>
      <c r="F49" s="1" t="s">
        <v>37</v>
      </c>
      <c r="G49" s="1" t="s">
        <v>6</v>
      </c>
      <c r="H49" s="1" t="s">
        <v>7</v>
      </c>
      <c r="I49" s="4">
        <v>89</v>
      </c>
      <c r="J49" s="4">
        <f>VLOOKUP(H49,품목리스트!$B$5:$C$15,2,FALSE)</f>
        <v>130000</v>
      </c>
      <c r="K49" s="6">
        <f t="shared" si="2"/>
        <v>11570000</v>
      </c>
      <c r="L49" s="6">
        <f t="shared" si="3"/>
        <v>12727000</v>
      </c>
      <c r="M49" s="1" t="s">
        <v>38</v>
      </c>
      <c r="N49" s="1" t="s">
        <v>87</v>
      </c>
    </row>
    <row r="50" spans="1:14" ht="18" customHeight="1">
      <c r="A50" s="1">
        <v>44</v>
      </c>
      <c r="B50" s="1">
        <v>2023</v>
      </c>
      <c r="C50" s="1" t="s">
        <v>53</v>
      </c>
      <c r="D50" s="3">
        <v>45026</v>
      </c>
      <c r="E50" s="1" t="s">
        <v>62</v>
      </c>
      <c r="F50" s="1" t="s">
        <v>54</v>
      </c>
      <c r="G50" s="1" t="s">
        <v>93</v>
      </c>
      <c r="H50" s="1" t="s">
        <v>91</v>
      </c>
      <c r="I50" s="4">
        <v>4</v>
      </c>
      <c r="J50" s="4">
        <f>VLOOKUP(H50,품목리스트!$B$5:$C$15,2,FALSE)</f>
        <v>5200000</v>
      </c>
      <c r="K50" s="6">
        <f t="shared" si="2"/>
        <v>20800000</v>
      </c>
      <c r="L50" s="6">
        <f t="shared" si="3"/>
        <v>22880000</v>
      </c>
      <c r="M50" s="1" t="s">
        <v>38</v>
      </c>
      <c r="N50" s="1" t="s">
        <v>90</v>
      </c>
    </row>
    <row r="51" spans="1:14" ht="18" customHeight="1">
      <c r="A51" s="1">
        <v>45</v>
      </c>
      <c r="B51" s="1">
        <v>2023</v>
      </c>
      <c r="C51" s="1" t="s">
        <v>53</v>
      </c>
      <c r="D51" s="3">
        <v>45019</v>
      </c>
      <c r="E51" s="1" t="s">
        <v>46</v>
      </c>
      <c r="F51" s="1" t="s">
        <v>71</v>
      </c>
      <c r="G51" s="1" t="s">
        <v>93</v>
      </c>
      <c r="H51" s="1" t="s">
        <v>11</v>
      </c>
      <c r="I51" s="4">
        <v>1</v>
      </c>
      <c r="J51" s="4">
        <f>VLOOKUP(H51,품목리스트!$B$5:$C$15,2,FALSE)</f>
        <v>6000000</v>
      </c>
      <c r="K51" s="6">
        <f t="shared" si="2"/>
        <v>6000000</v>
      </c>
      <c r="L51" s="6">
        <f t="shared" si="3"/>
        <v>6600000</v>
      </c>
      <c r="M51" s="1" t="s">
        <v>38</v>
      </c>
      <c r="N51" s="1" t="s">
        <v>90</v>
      </c>
    </row>
    <row r="52" spans="1:14" ht="18" customHeight="1">
      <c r="A52" s="1">
        <v>46</v>
      </c>
      <c r="B52" s="1">
        <v>2023</v>
      </c>
      <c r="C52" s="1" t="s">
        <v>58</v>
      </c>
      <c r="D52" s="3">
        <v>45062</v>
      </c>
      <c r="E52" s="1" t="s">
        <v>46</v>
      </c>
      <c r="F52" s="1" t="s">
        <v>40</v>
      </c>
      <c r="G52" s="1" t="s">
        <v>93</v>
      </c>
      <c r="H52" s="1" t="s">
        <v>91</v>
      </c>
      <c r="I52" s="4">
        <v>92</v>
      </c>
      <c r="J52" s="4">
        <f>VLOOKUP(H52,품목리스트!$B$5:$C$15,2,FALSE)</f>
        <v>5200000</v>
      </c>
      <c r="K52" s="6">
        <f t="shared" si="2"/>
        <v>478400000</v>
      </c>
      <c r="L52" s="6">
        <f t="shared" si="3"/>
        <v>526240000</v>
      </c>
      <c r="M52" s="1" t="s">
        <v>41</v>
      </c>
      <c r="N52" s="1" t="s">
        <v>90</v>
      </c>
    </row>
    <row r="53" spans="1:14" ht="18" customHeight="1">
      <c r="A53" s="1">
        <v>47</v>
      </c>
      <c r="B53" s="1">
        <v>2023</v>
      </c>
      <c r="C53" s="1" t="s">
        <v>58</v>
      </c>
      <c r="D53" s="3">
        <v>45049</v>
      </c>
      <c r="E53" s="1" t="s">
        <v>46</v>
      </c>
      <c r="F53" s="1" t="s">
        <v>76</v>
      </c>
      <c r="G53" s="1" t="s">
        <v>12</v>
      </c>
      <c r="H53" s="1" t="s">
        <v>14</v>
      </c>
      <c r="I53" s="4">
        <v>5</v>
      </c>
      <c r="J53" s="4">
        <f>VLOOKUP(H53,품목리스트!$B$5:$C$15,2,FALSE)</f>
        <v>4800000</v>
      </c>
      <c r="K53" s="6">
        <f t="shared" si="2"/>
        <v>24000000</v>
      </c>
      <c r="L53" s="6">
        <f t="shared" si="3"/>
        <v>26400000</v>
      </c>
      <c r="M53" s="1" t="s">
        <v>41</v>
      </c>
      <c r="N53" s="1" t="s">
        <v>88</v>
      </c>
    </row>
    <row r="54" spans="1:14" ht="18" customHeight="1">
      <c r="A54" s="1">
        <v>48</v>
      </c>
      <c r="B54" s="1">
        <v>2023</v>
      </c>
      <c r="C54" s="1" t="s">
        <v>61</v>
      </c>
      <c r="D54" s="3">
        <v>45087</v>
      </c>
      <c r="E54" s="1" t="s">
        <v>64</v>
      </c>
      <c r="F54" s="1" t="s">
        <v>76</v>
      </c>
      <c r="G54" s="1" t="s">
        <v>12</v>
      </c>
      <c r="H54" s="1" t="s">
        <v>14</v>
      </c>
      <c r="I54" s="4">
        <v>78</v>
      </c>
      <c r="J54" s="4">
        <f>VLOOKUP(H54,품목리스트!$B$5:$C$15,2,FALSE)</f>
        <v>4800000</v>
      </c>
      <c r="K54" s="6">
        <f t="shared" si="2"/>
        <v>374400000</v>
      </c>
      <c r="L54" s="6">
        <f t="shared" si="3"/>
        <v>411840000</v>
      </c>
      <c r="M54" s="1" t="s">
        <v>41</v>
      </c>
      <c r="N54" s="1" t="s">
        <v>88</v>
      </c>
    </row>
    <row r="55" spans="1:14" ht="18" customHeight="1">
      <c r="A55" s="1">
        <v>49</v>
      </c>
      <c r="B55" s="1">
        <v>2023</v>
      </c>
      <c r="C55" s="1" t="s">
        <v>61</v>
      </c>
      <c r="D55" s="3">
        <v>45102</v>
      </c>
      <c r="E55" s="1" t="s">
        <v>51</v>
      </c>
      <c r="F55" s="1" t="s">
        <v>44</v>
      </c>
      <c r="G55" s="1" t="s">
        <v>6</v>
      </c>
      <c r="H55" s="1" t="s">
        <v>7</v>
      </c>
      <c r="I55" s="4">
        <v>6</v>
      </c>
      <c r="J55" s="4">
        <f>VLOOKUP(H55,품목리스트!$B$5:$C$15,2,FALSE)</f>
        <v>130000</v>
      </c>
      <c r="K55" s="6">
        <f t="shared" si="2"/>
        <v>780000</v>
      </c>
      <c r="L55" s="6">
        <f t="shared" si="3"/>
        <v>858000</v>
      </c>
      <c r="M55" s="1" t="s">
        <v>41</v>
      </c>
      <c r="N55" s="1" t="s">
        <v>90</v>
      </c>
    </row>
    <row r="56" spans="1:14" ht="18" customHeight="1">
      <c r="A56" s="1">
        <v>50</v>
      </c>
      <c r="B56" s="1">
        <v>2023</v>
      </c>
      <c r="C56" s="1" t="s">
        <v>61</v>
      </c>
      <c r="D56" s="3">
        <v>45083</v>
      </c>
      <c r="E56" s="1" t="s">
        <v>56</v>
      </c>
      <c r="F56" s="1" t="s">
        <v>76</v>
      </c>
      <c r="G56" s="1" t="s">
        <v>6</v>
      </c>
      <c r="H56" s="1" t="s">
        <v>9</v>
      </c>
      <c r="I56" s="4">
        <v>1</v>
      </c>
      <c r="J56" s="4">
        <f>VLOOKUP(H56,품목리스트!$B$5:$C$15,2,FALSE)</f>
        <v>175000</v>
      </c>
      <c r="K56" s="6">
        <f t="shared" si="2"/>
        <v>175000</v>
      </c>
      <c r="L56" s="6">
        <f t="shared" si="3"/>
        <v>192500</v>
      </c>
      <c r="M56" s="1" t="s">
        <v>41</v>
      </c>
      <c r="N56" s="1" t="s">
        <v>90</v>
      </c>
    </row>
    <row r="57" spans="1:14" ht="18" customHeight="1">
      <c r="A57" s="1">
        <v>51</v>
      </c>
      <c r="B57" s="1">
        <v>2023</v>
      </c>
      <c r="C57" s="1" t="s">
        <v>61</v>
      </c>
      <c r="D57" s="3">
        <v>45099</v>
      </c>
      <c r="E57" s="1" t="s">
        <v>62</v>
      </c>
      <c r="F57" s="1" t="s">
        <v>73</v>
      </c>
      <c r="G57" s="1" t="s">
        <v>12</v>
      </c>
      <c r="H57" s="1" t="s">
        <v>15</v>
      </c>
      <c r="I57" s="4">
        <v>4</v>
      </c>
      <c r="J57" s="4">
        <f>VLOOKUP(H57,품목리스트!$B$5:$C$15,2,FALSE)</f>
        <v>60000</v>
      </c>
      <c r="K57" s="6">
        <f t="shared" si="2"/>
        <v>240000</v>
      </c>
      <c r="L57" s="6">
        <f t="shared" si="3"/>
        <v>264000</v>
      </c>
      <c r="M57" s="1" t="s">
        <v>38</v>
      </c>
      <c r="N57" s="1" t="s">
        <v>88</v>
      </c>
    </row>
    <row r="58" spans="1:14" ht="18" customHeight="1">
      <c r="A58" s="1">
        <v>52</v>
      </c>
      <c r="B58" s="1">
        <v>2023</v>
      </c>
      <c r="C58" s="1" t="s">
        <v>63</v>
      </c>
      <c r="D58" s="3">
        <v>45122</v>
      </c>
      <c r="E58" s="1" t="s">
        <v>36</v>
      </c>
      <c r="F58" s="1" t="s">
        <v>73</v>
      </c>
      <c r="G58" s="1" t="s">
        <v>16</v>
      </c>
      <c r="H58" s="1" t="s">
        <v>18</v>
      </c>
      <c r="I58" s="4">
        <v>87</v>
      </c>
      <c r="J58" s="4">
        <f>VLOOKUP(H58,품목리스트!$B$5:$C$15,2,FALSE)</f>
        <v>240000</v>
      </c>
      <c r="K58" s="6">
        <f t="shared" si="2"/>
        <v>20880000</v>
      </c>
      <c r="L58" s="6">
        <f t="shared" si="3"/>
        <v>22968000</v>
      </c>
      <c r="M58" s="1" t="s">
        <v>38</v>
      </c>
      <c r="N58" s="1" t="s">
        <v>90</v>
      </c>
    </row>
    <row r="59" spans="1:14" ht="18" customHeight="1">
      <c r="A59" s="1">
        <v>53</v>
      </c>
      <c r="B59" s="1">
        <v>2023</v>
      </c>
      <c r="C59" s="1" t="s">
        <v>63</v>
      </c>
      <c r="D59" s="3">
        <v>45115</v>
      </c>
      <c r="E59" s="1" t="s">
        <v>59</v>
      </c>
      <c r="F59" s="1" t="s">
        <v>57</v>
      </c>
      <c r="G59" s="1" t="s">
        <v>93</v>
      </c>
      <c r="H59" s="1" t="s">
        <v>11</v>
      </c>
      <c r="I59" s="4">
        <v>4</v>
      </c>
      <c r="J59" s="4">
        <f>VLOOKUP(H59,품목리스트!$B$5:$C$15,2,FALSE)</f>
        <v>6000000</v>
      </c>
      <c r="K59" s="6">
        <f t="shared" si="2"/>
        <v>24000000</v>
      </c>
      <c r="L59" s="6">
        <f t="shared" si="3"/>
        <v>26400000</v>
      </c>
      <c r="M59" s="1" t="s">
        <v>38</v>
      </c>
      <c r="N59" s="1" t="s">
        <v>87</v>
      </c>
    </row>
    <row r="60" spans="1:14" ht="18" customHeight="1">
      <c r="A60" s="1">
        <v>54</v>
      </c>
      <c r="B60" s="1">
        <v>2023</v>
      </c>
      <c r="C60" s="1" t="s">
        <v>65</v>
      </c>
      <c r="D60" s="3">
        <v>45143</v>
      </c>
      <c r="E60" s="1" t="s">
        <v>64</v>
      </c>
      <c r="F60" s="1" t="s">
        <v>77</v>
      </c>
      <c r="G60" s="1" t="s">
        <v>6</v>
      </c>
      <c r="H60" s="1" t="s">
        <v>9</v>
      </c>
      <c r="I60" s="4">
        <v>81</v>
      </c>
      <c r="J60" s="4">
        <f>VLOOKUP(H60,품목리스트!$B$5:$C$15,2,FALSE)</f>
        <v>175000</v>
      </c>
      <c r="K60" s="6">
        <f t="shared" si="2"/>
        <v>14175000</v>
      </c>
      <c r="L60" s="6">
        <f t="shared" si="3"/>
        <v>15592500</v>
      </c>
      <c r="M60" s="1" t="s">
        <v>38</v>
      </c>
      <c r="N60" s="1" t="s">
        <v>87</v>
      </c>
    </row>
    <row r="61" spans="1:14" ht="18" customHeight="1">
      <c r="A61" s="1">
        <v>55</v>
      </c>
      <c r="B61" s="1">
        <v>2023</v>
      </c>
      <c r="C61" s="1" t="s">
        <v>65</v>
      </c>
      <c r="D61" s="3">
        <v>45143</v>
      </c>
      <c r="E61" s="1" t="s">
        <v>59</v>
      </c>
      <c r="F61" s="1" t="s">
        <v>66</v>
      </c>
      <c r="G61" s="1" t="s">
        <v>12</v>
      </c>
      <c r="H61" s="1" t="s">
        <v>13</v>
      </c>
      <c r="I61" s="4">
        <v>5</v>
      </c>
      <c r="J61" s="4">
        <f>VLOOKUP(H61,품목리스트!$B$5:$C$15,2,FALSE)</f>
        <v>4200000</v>
      </c>
      <c r="K61" s="6">
        <f t="shared" si="2"/>
        <v>21000000</v>
      </c>
      <c r="L61" s="6">
        <f t="shared" si="3"/>
        <v>23100000</v>
      </c>
      <c r="M61" s="1" t="s">
        <v>41</v>
      </c>
      <c r="N61" s="1" t="s">
        <v>87</v>
      </c>
    </row>
    <row r="62" spans="1:14" ht="18" customHeight="1">
      <c r="A62" s="1">
        <v>56</v>
      </c>
      <c r="B62" s="1">
        <v>2023</v>
      </c>
      <c r="C62" s="1" t="s">
        <v>65</v>
      </c>
      <c r="D62" s="3">
        <v>45142</v>
      </c>
      <c r="E62" s="1" t="s">
        <v>56</v>
      </c>
      <c r="F62" s="1" t="s">
        <v>66</v>
      </c>
      <c r="G62" s="1" t="s">
        <v>93</v>
      </c>
      <c r="H62" s="1" t="s">
        <v>91</v>
      </c>
      <c r="I62" s="4">
        <v>1</v>
      </c>
      <c r="J62" s="4">
        <f>VLOOKUP(H62,품목리스트!$B$5:$C$15,2,FALSE)</f>
        <v>5200000</v>
      </c>
      <c r="K62" s="6">
        <f t="shared" si="2"/>
        <v>5200000</v>
      </c>
      <c r="L62" s="6">
        <f t="shared" si="3"/>
        <v>5720000</v>
      </c>
      <c r="M62" s="1" t="s">
        <v>41</v>
      </c>
      <c r="N62" s="1" t="s">
        <v>89</v>
      </c>
    </row>
    <row r="63" spans="1:14" ht="18" customHeight="1">
      <c r="A63" s="1">
        <v>57</v>
      </c>
      <c r="B63" s="1">
        <v>2023</v>
      </c>
      <c r="C63" s="1" t="s">
        <v>68</v>
      </c>
      <c r="D63" s="3">
        <v>45190</v>
      </c>
      <c r="E63" s="1" t="s">
        <v>59</v>
      </c>
      <c r="F63" s="1" t="s">
        <v>73</v>
      </c>
      <c r="G63" s="1" t="s">
        <v>16</v>
      </c>
      <c r="H63" s="1" t="s">
        <v>17</v>
      </c>
      <c r="I63" s="4">
        <v>85</v>
      </c>
      <c r="J63" s="4">
        <f>VLOOKUP(H63,품목리스트!$B$5:$C$15,2,FALSE)</f>
        <v>180000</v>
      </c>
      <c r="K63" s="6">
        <f t="shared" si="2"/>
        <v>15300000</v>
      </c>
      <c r="L63" s="6">
        <f t="shared" si="3"/>
        <v>16830000</v>
      </c>
      <c r="M63" s="1" t="s">
        <v>38</v>
      </c>
      <c r="N63" s="1" t="s">
        <v>88</v>
      </c>
    </row>
    <row r="64" spans="1:14" ht="18" customHeight="1">
      <c r="A64" s="1">
        <v>58</v>
      </c>
      <c r="B64" s="1">
        <v>2023</v>
      </c>
      <c r="C64" s="1" t="s">
        <v>68</v>
      </c>
      <c r="D64" s="3">
        <v>45192</v>
      </c>
      <c r="E64" s="1" t="s">
        <v>51</v>
      </c>
      <c r="F64" s="1" t="s">
        <v>73</v>
      </c>
      <c r="G64" s="1" t="s">
        <v>93</v>
      </c>
      <c r="H64" s="1" t="s">
        <v>91</v>
      </c>
      <c r="I64" s="4">
        <v>6</v>
      </c>
      <c r="J64" s="4">
        <f>VLOOKUP(H64,품목리스트!$B$5:$C$15,2,FALSE)</f>
        <v>5200000</v>
      </c>
      <c r="K64" s="6">
        <f t="shared" si="2"/>
        <v>31200000</v>
      </c>
      <c r="L64" s="6">
        <f t="shared" si="3"/>
        <v>34320000</v>
      </c>
      <c r="M64" s="1" t="s">
        <v>38</v>
      </c>
      <c r="N64" s="1" t="s">
        <v>88</v>
      </c>
    </row>
    <row r="65" spans="1:14" ht="18" customHeight="1">
      <c r="A65" s="1">
        <v>59</v>
      </c>
      <c r="B65" s="1">
        <v>2023</v>
      </c>
      <c r="C65" s="1" t="s">
        <v>68</v>
      </c>
      <c r="D65" s="3">
        <v>45178</v>
      </c>
      <c r="E65" s="1" t="s">
        <v>59</v>
      </c>
      <c r="F65" s="1" t="s">
        <v>52</v>
      </c>
      <c r="G65" s="1" t="s">
        <v>16</v>
      </c>
      <c r="H65" s="1" t="s">
        <v>17</v>
      </c>
      <c r="I65" s="4">
        <v>4</v>
      </c>
      <c r="J65" s="4">
        <f>VLOOKUP(H65,품목리스트!$B$5:$C$15,2,FALSE)</f>
        <v>180000</v>
      </c>
      <c r="K65" s="6">
        <f t="shared" si="2"/>
        <v>720000</v>
      </c>
      <c r="L65" s="6">
        <f t="shared" si="3"/>
        <v>792000</v>
      </c>
      <c r="M65" s="1" t="s">
        <v>41</v>
      </c>
      <c r="N65" s="1" t="s">
        <v>89</v>
      </c>
    </row>
    <row r="66" spans="1:14" ht="18" customHeight="1">
      <c r="A66" s="1">
        <v>60</v>
      </c>
      <c r="B66" s="1">
        <v>2023</v>
      </c>
      <c r="C66" s="1" t="s">
        <v>70</v>
      </c>
      <c r="D66" s="3">
        <v>45217</v>
      </c>
      <c r="E66" s="1" t="s">
        <v>46</v>
      </c>
      <c r="F66" s="1" t="s">
        <v>40</v>
      </c>
      <c r="G66" s="1" t="s">
        <v>16</v>
      </c>
      <c r="H66" s="1" t="s">
        <v>18</v>
      </c>
      <c r="I66" s="4">
        <v>81</v>
      </c>
      <c r="J66" s="4">
        <f>VLOOKUP(H66,품목리스트!$B$5:$C$15,2,FALSE)</f>
        <v>240000</v>
      </c>
      <c r="K66" s="6">
        <f t="shared" si="2"/>
        <v>19440000</v>
      </c>
      <c r="L66" s="6">
        <f t="shared" si="3"/>
        <v>21384000</v>
      </c>
      <c r="M66" s="1" t="s">
        <v>41</v>
      </c>
      <c r="N66" s="1" t="s">
        <v>89</v>
      </c>
    </row>
    <row r="67" spans="1:14" ht="18" customHeight="1">
      <c r="A67" s="1">
        <v>61</v>
      </c>
      <c r="B67" s="1">
        <v>2023</v>
      </c>
      <c r="C67" s="1" t="s">
        <v>70</v>
      </c>
      <c r="D67" s="3">
        <v>45219</v>
      </c>
      <c r="E67" s="1" t="s">
        <v>51</v>
      </c>
      <c r="F67" s="1" t="s">
        <v>73</v>
      </c>
      <c r="G67" s="1" t="s">
        <v>12</v>
      </c>
      <c r="H67" s="1" t="s">
        <v>14</v>
      </c>
      <c r="I67" s="4">
        <v>6</v>
      </c>
      <c r="J67" s="4">
        <f>VLOOKUP(H67,품목리스트!$B$5:$C$15,2,FALSE)</f>
        <v>4800000</v>
      </c>
      <c r="K67" s="6">
        <f t="shared" si="2"/>
        <v>28800000</v>
      </c>
      <c r="L67" s="6">
        <f t="shared" si="3"/>
        <v>31680000</v>
      </c>
      <c r="M67" s="1" t="s">
        <v>38</v>
      </c>
      <c r="N67" s="1" t="s">
        <v>90</v>
      </c>
    </row>
    <row r="68" spans="1:14" ht="18" customHeight="1">
      <c r="A68" s="1">
        <v>62</v>
      </c>
      <c r="B68" s="1">
        <v>2023</v>
      </c>
      <c r="C68" s="1" t="s">
        <v>70</v>
      </c>
      <c r="D68" s="3">
        <v>45221</v>
      </c>
      <c r="E68" s="1" t="s">
        <v>59</v>
      </c>
      <c r="F68" s="1" t="s">
        <v>71</v>
      </c>
      <c r="G68" s="1" t="s">
        <v>6</v>
      </c>
      <c r="H68" s="1" t="s">
        <v>9</v>
      </c>
      <c r="I68" s="4">
        <v>1</v>
      </c>
      <c r="J68" s="4">
        <f>VLOOKUP(H68,품목리스트!$B$5:$C$15,2,FALSE)</f>
        <v>175000</v>
      </c>
      <c r="K68" s="6">
        <f t="shared" si="2"/>
        <v>175000</v>
      </c>
      <c r="L68" s="6">
        <f t="shared" si="3"/>
        <v>192500</v>
      </c>
      <c r="M68" s="1" t="s">
        <v>38</v>
      </c>
      <c r="N68" s="1" t="s">
        <v>88</v>
      </c>
    </row>
    <row r="69" spans="1:14" ht="18" customHeight="1">
      <c r="A69" s="1">
        <v>63</v>
      </c>
      <c r="B69" s="1">
        <v>2023</v>
      </c>
      <c r="C69" s="1" t="s">
        <v>72</v>
      </c>
      <c r="D69" s="3">
        <v>45243</v>
      </c>
      <c r="E69" s="1" t="s">
        <v>62</v>
      </c>
      <c r="F69" s="1" t="s">
        <v>57</v>
      </c>
      <c r="G69" s="1" t="s">
        <v>93</v>
      </c>
      <c r="H69" s="1" t="s">
        <v>10</v>
      </c>
      <c r="I69" s="4">
        <v>88</v>
      </c>
      <c r="J69" s="4">
        <f>VLOOKUP(H69,품목리스트!$B$5:$C$15,2,FALSE)</f>
        <v>4500000</v>
      </c>
      <c r="K69" s="6">
        <f t="shared" si="2"/>
        <v>396000000</v>
      </c>
      <c r="L69" s="6">
        <f t="shared" si="3"/>
        <v>435600000</v>
      </c>
      <c r="M69" s="1" t="s">
        <v>38</v>
      </c>
      <c r="N69" s="1" t="s">
        <v>89</v>
      </c>
    </row>
    <row r="70" spans="1:14" ht="18" customHeight="1">
      <c r="A70" s="1">
        <v>64</v>
      </c>
      <c r="B70" s="1">
        <v>2023</v>
      </c>
      <c r="C70" s="1" t="s">
        <v>72</v>
      </c>
      <c r="D70" s="3">
        <v>45245</v>
      </c>
      <c r="E70" s="1" t="s">
        <v>56</v>
      </c>
      <c r="F70" s="1" t="s">
        <v>76</v>
      </c>
      <c r="G70" s="1" t="s">
        <v>6</v>
      </c>
      <c r="H70" s="1" t="s">
        <v>9</v>
      </c>
      <c r="I70" s="4">
        <v>5</v>
      </c>
      <c r="J70" s="4">
        <f>VLOOKUP(H70,품목리스트!$B$5:$C$15,2,FALSE)</f>
        <v>175000</v>
      </c>
      <c r="K70" s="6">
        <f t="shared" si="2"/>
        <v>875000</v>
      </c>
      <c r="L70" s="6">
        <f t="shared" si="3"/>
        <v>962500</v>
      </c>
      <c r="M70" s="1" t="s">
        <v>41</v>
      </c>
      <c r="N70" s="1" t="s">
        <v>89</v>
      </c>
    </row>
    <row r="71" spans="1:14" ht="18" customHeight="1">
      <c r="A71" s="1">
        <v>65</v>
      </c>
      <c r="B71" s="1">
        <v>2023</v>
      </c>
      <c r="C71" s="1" t="s">
        <v>74</v>
      </c>
      <c r="D71" s="3">
        <v>45268</v>
      </c>
      <c r="E71" s="1" t="s">
        <v>43</v>
      </c>
      <c r="F71" s="1" t="s">
        <v>66</v>
      </c>
      <c r="G71" s="1" t="s">
        <v>93</v>
      </c>
      <c r="H71" s="1" t="s">
        <v>10</v>
      </c>
      <c r="I71" s="4">
        <v>81</v>
      </c>
      <c r="J71" s="4">
        <f>VLOOKUP(H71,품목리스트!$B$5:$C$15,2,FALSE)</f>
        <v>4500000</v>
      </c>
      <c r="K71" s="6">
        <f t="shared" ref="K71:K102" si="4">ROUND(I71*J71,0)</f>
        <v>364500000</v>
      </c>
      <c r="L71" s="6">
        <f t="shared" ref="L71:L102" si="5">ROUND(K71*(1+$B$5),0)</f>
        <v>400950000</v>
      </c>
      <c r="M71" s="1" t="s">
        <v>41</v>
      </c>
      <c r="N71" s="1" t="s">
        <v>87</v>
      </c>
    </row>
    <row r="72" spans="1:14" ht="18" customHeight="1">
      <c r="A72" s="1">
        <v>66</v>
      </c>
      <c r="B72" s="1">
        <v>2023</v>
      </c>
      <c r="C72" s="1" t="s">
        <v>74</v>
      </c>
      <c r="D72" s="3">
        <v>45268</v>
      </c>
      <c r="E72" s="1" t="s">
        <v>64</v>
      </c>
      <c r="F72" s="1" t="s">
        <v>44</v>
      </c>
      <c r="G72" s="1" t="s">
        <v>93</v>
      </c>
      <c r="H72" s="1" t="s">
        <v>11</v>
      </c>
      <c r="I72" s="4">
        <v>4</v>
      </c>
      <c r="J72" s="4">
        <f>VLOOKUP(H72,품목리스트!$B$5:$C$15,2,FALSE)</f>
        <v>6000000</v>
      </c>
      <c r="K72" s="6">
        <f t="shared" si="4"/>
        <v>24000000</v>
      </c>
      <c r="L72" s="6">
        <f t="shared" si="5"/>
        <v>26400000</v>
      </c>
      <c r="M72" s="1" t="s">
        <v>41</v>
      </c>
      <c r="N72" s="1" t="s">
        <v>87</v>
      </c>
    </row>
    <row r="73" spans="1:14" ht="18" customHeight="1">
      <c r="A73" s="1">
        <v>67</v>
      </c>
      <c r="B73" s="1">
        <v>2023</v>
      </c>
      <c r="C73" s="1" t="s">
        <v>74</v>
      </c>
      <c r="D73" s="3">
        <v>45280</v>
      </c>
      <c r="E73" s="1" t="s">
        <v>46</v>
      </c>
      <c r="F73" s="1" t="s">
        <v>40</v>
      </c>
      <c r="G73" s="1" t="s">
        <v>6</v>
      </c>
      <c r="H73" s="1" t="s">
        <v>9</v>
      </c>
      <c r="I73" s="4">
        <v>1</v>
      </c>
      <c r="J73" s="4">
        <f>VLOOKUP(H73,품목리스트!$B$5:$C$15,2,FALSE)</f>
        <v>175000</v>
      </c>
      <c r="K73" s="6">
        <f t="shared" si="4"/>
        <v>175000</v>
      </c>
      <c r="L73" s="6">
        <f t="shared" si="5"/>
        <v>192500</v>
      </c>
      <c r="M73" s="1" t="s">
        <v>41</v>
      </c>
      <c r="N73" s="1" t="s">
        <v>88</v>
      </c>
    </row>
    <row r="74" spans="1:14" ht="18" customHeight="1">
      <c r="A74" s="1">
        <v>68</v>
      </c>
      <c r="B74" s="1">
        <v>2023</v>
      </c>
      <c r="C74" s="1" t="s">
        <v>74</v>
      </c>
      <c r="D74" s="3">
        <v>45286</v>
      </c>
      <c r="E74" s="1" t="s">
        <v>59</v>
      </c>
      <c r="F74" s="1" t="s">
        <v>75</v>
      </c>
      <c r="G74" s="1" t="s">
        <v>6</v>
      </c>
      <c r="H74" s="1" t="s">
        <v>7</v>
      </c>
      <c r="I74" s="4">
        <v>4</v>
      </c>
      <c r="J74" s="4">
        <f>VLOOKUP(H74,품목리스트!$B$5:$C$15,2,FALSE)</f>
        <v>130000</v>
      </c>
      <c r="K74" s="6">
        <f t="shared" si="4"/>
        <v>520000</v>
      </c>
      <c r="L74" s="6">
        <f t="shared" si="5"/>
        <v>572000</v>
      </c>
      <c r="M74" s="1" t="s">
        <v>41</v>
      </c>
      <c r="N74" s="1" t="s">
        <v>87</v>
      </c>
    </row>
    <row r="75" spans="1:14" ht="18" customHeight="1">
      <c r="A75" s="1">
        <v>69</v>
      </c>
      <c r="B75" s="1">
        <v>2024</v>
      </c>
      <c r="C75" s="1" t="s">
        <v>35</v>
      </c>
      <c r="D75" s="3">
        <v>45297</v>
      </c>
      <c r="E75" s="1" t="s">
        <v>46</v>
      </c>
      <c r="F75" s="1" t="s">
        <v>57</v>
      </c>
      <c r="G75" s="1" t="s">
        <v>16</v>
      </c>
      <c r="H75" s="1" t="s">
        <v>17</v>
      </c>
      <c r="I75" s="4">
        <v>84</v>
      </c>
      <c r="J75" s="4">
        <f>VLOOKUP(H75,품목리스트!$B$5:$C$15,2,FALSE)</f>
        <v>180000</v>
      </c>
      <c r="K75" s="6">
        <f t="shared" si="4"/>
        <v>15120000</v>
      </c>
      <c r="L75" s="6">
        <f t="shared" si="5"/>
        <v>16632000</v>
      </c>
      <c r="M75" s="1" t="s">
        <v>38</v>
      </c>
      <c r="N75" s="1" t="s">
        <v>87</v>
      </c>
    </row>
    <row r="76" spans="1:14" ht="18" customHeight="1">
      <c r="A76" s="1">
        <v>70</v>
      </c>
      <c r="B76" s="1">
        <v>2024</v>
      </c>
      <c r="C76" s="1" t="s">
        <v>35</v>
      </c>
      <c r="D76" s="3">
        <v>45294</v>
      </c>
      <c r="E76" s="1" t="s">
        <v>36</v>
      </c>
      <c r="F76" s="1" t="s">
        <v>37</v>
      </c>
      <c r="G76" s="1" t="s">
        <v>93</v>
      </c>
      <c r="H76" s="1" t="s">
        <v>91</v>
      </c>
      <c r="I76" s="4">
        <v>5</v>
      </c>
      <c r="J76" s="4">
        <f>VLOOKUP(H76,품목리스트!$B$5:$C$15,2,FALSE)</f>
        <v>5200000</v>
      </c>
      <c r="K76" s="6">
        <f t="shared" si="4"/>
        <v>26000000</v>
      </c>
      <c r="L76" s="6">
        <f t="shared" si="5"/>
        <v>28600000</v>
      </c>
      <c r="M76" s="1" t="s">
        <v>38</v>
      </c>
      <c r="N76" s="1" t="s">
        <v>90</v>
      </c>
    </row>
    <row r="77" spans="1:14" ht="18" customHeight="1">
      <c r="A77" s="1">
        <v>71</v>
      </c>
      <c r="B77" s="1">
        <v>2024</v>
      </c>
      <c r="C77" s="1" t="s">
        <v>42</v>
      </c>
      <c r="D77" s="3">
        <v>45338</v>
      </c>
      <c r="E77" s="1" t="s">
        <v>36</v>
      </c>
      <c r="F77" s="1" t="s">
        <v>60</v>
      </c>
      <c r="G77" s="1" t="s">
        <v>93</v>
      </c>
      <c r="H77" s="1" t="s">
        <v>11</v>
      </c>
      <c r="I77" s="4">
        <v>84</v>
      </c>
      <c r="J77" s="4">
        <f>VLOOKUP(H77,품목리스트!$B$5:$C$15,2,FALSE)</f>
        <v>6000000</v>
      </c>
      <c r="K77" s="6">
        <f t="shared" si="4"/>
        <v>504000000</v>
      </c>
      <c r="L77" s="6">
        <f t="shared" si="5"/>
        <v>554400000</v>
      </c>
      <c r="M77" s="1" t="s">
        <v>41</v>
      </c>
      <c r="N77" s="1" t="s">
        <v>87</v>
      </c>
    </row>
    <row r="78" spans="1:14" ht="18" customHeight="1">
      <c r="A78" s="1">
        <v>72</v>
      </c>
      <c r="B78" s="1">
        <v>2024</v>
      </c>
      <c r="C78" s="1" t="s">
        <v>42</v>
      </c>
      <c r="D78" s="3">
        <v>45335</v>
      </c>
      <c r="E78" s="1" t="s">
        <v>43</v>
      </c>
      <c r="F78" s="1" t="s">
        <v>66</v>
      </c>
      <c r="G78" s="1" t="s">
        <v>12</v>
      </c>
      <c r="H78" s="1" t="s">
        <v>13</v>
      </c>
      <c r="I78" s="4">
        <v>5</v>
      </c>
      <c r="J78" s="4">
        <f>VLOOKUP(H78,품목리스트!$B$5:$C$15,2,FALSE)</f>
        <v>4200000</v>
      </c>
      <c r="K78" s="6">
        <f t="shared" si="4"/>
        <v>21000000</v>
      </c>
      <c r="L78" s="6">
        <f t="shared" si="5"/>
        <v>23100000</v>
      </c>
      <c r="M78" s="1" t="s">
        <v>41</v>
      </c>
      <c r="N78" s="1" t="s">
        <v>90</v>
      </c>
    </row>
    <row r="79" spans="1:14" ht="18" customHeight="1">
      <c r="A79" s="1">
        <v>73</v>
      </c>
      <c r="B79" s="1">
        <v>2024</v>
      </c>
      <c r="C79" s="1" t="s">
        <v>42</v>
      </c>
      <c r="D79" s="3">
        <v>45344</v>
      </c>
      <c r="E79" s="1" t="s">
        <v>64</v>
      </c>
      <c r="F79" s="1" t="s">
        <v>71</v>
      </c>
      <c r="G79" s="1" t="s">
        <v>16</v>
      </c>
      <c r="H79" s="1" t="s">
        <v>18</v>
      </c>
      <c r="I79" s="4">
        <v>1</v>
      </c>
      <c r="J79" s="4">
        <f>VLOOKUP(H79,품목리스트!$B$5:$C$15,2,FALSE)</f>
        <v>240000</v>
      </c>
      <c r="K79" s="6">
        <f t="shared" si="4"/>
        <v>240000</v>
      </c>
      <c r="L79" s="6">
        <f t="shared" si="5"/>
        <v>264000</v>
      </c>
      <c r="M79" s="1" t="s">
        <v>38</v>
      </c>
      <c r="N79" s="1" t="s">
        <v>87</v>
      </c>
    </row>
    <row r="80" spans="1:14" ht="18" customHeight="1">
      <c r="A80" s="1">
        <v>74</v>
      </c>
      <c r="B80" s="1">
        <v>2024</v>
      </c>
      <c r="C80" s="1" t="s">
        <v>50</v>
      </c>
      <c r="D80" s="3">
        <v>45376</v>
      </c>
      <c r="E80" s="1" t="s">
        <v>43</v>
      </c>
      <c r="F80" s="1" t="s">
        <v>54</v>
      </c>
      <c r="G80" s="1" t="s">
        <v>12</v>
      </c>
      <c r="H80" s="1" t="s">
        <v>15</v>
      </c>
      <c r="I80" s="4">
        <v>72</v>
      </c>
      <c r="J80" s="4">
        <f>VLOOKUP(H80,품목리스트!$B$5:$C$15,2,FALSE)</f>
        <v>60000</v>
      </c>
      <c r="K80" s="6">
        <f t="shared" si="4"/>
        <v>4320000</v>
      </c>
      <c r="L80" s="6">
        <f t="shared" si="5"/>
        <v>4752000</v>
      </c>
      <c r="M80" s="1" t="s">
        <v>38</v>
      </c>
      <c r="N80" s="1" t="s">
        <v>90</v>
      </c>
    </row>
    <row r="81" spans="1:14" ht="18" customHeight="1">
      <c r="A81" s="1">
        <v>75</v>
      </c>
      <c r="B81" s="1">
        <v>2024</v>
      </c>
      <c r="C81" s="1" t="s">
        <v>50</v>
      </c>
      <c r="D81" s="3">
        <v>45363</v>
      </c>
      <c r="E81" s="1" t="s">
        <v>62</v>
      </c>
      <c r="F81" s="1" t="s">
        <v>54</v>
      </c>
      <c r="G81" s="1" t="s">
        <v>93</v>
      </c>
      <c r="H81" s="1" t="s">
        <v>10</v>
      </c>
      <c r="I81" s="4">
        <v>5</v>
      </c>
      <c r="J81" s="4">
        <f>VLOOKUP(H81,품목리스트!$B$5:$C$15,2,FALSE)</f>
        <v>4500000</v>
      </c>
      <c r="K81" s="6">
        <f t="shared" si="4"/>
        <v>22500000</v>
      </c>
      <c r="L81" s="6">
        <f t="shared" si="5"/>
        <v>24750000</v>
      </c>
      <c r="M81" s="1" t="s">
        <v>38</v>
      </c>
      <c r="N81" s="1" t="s">
        <v>89</v>
      </c>
    </row>
    <row r="82" spans="1:14" ht="18" customHeight="1">
      <c r="A82" s="1">
        <v>76</v>
      </c>
      <c r="B82" s="1">
        <v>2024</v>
      </c>
      <c r="C82" s="1" t="s">
        <v>50</v>
      </c>
      <c r="D82" s="3">
        <v>45364</v>
      </c>
      <c r="E82" s="1" t="s">
        <v>51</v>
      </c>
      <c r="F82" s="1" t="s">
        <v>69</v>
      </c>
      <c r="G82" s="1" t="s">
        <v>93</v>
      </c>
      <c r="H82" s="1" t="s">
        <v>91</v>
      </c>
      <c r="I82" s="4">
        <v>4</v>
      </c>
      <c r="J82" s="4">
        <f>VLOOKUP(H82,품목리스트!$B$5:$C$15,2,FALSE)</f>
        <v>5200000</v>
      </c>
      <c r="K82" s="6">
        <f t="shared" si="4"/>
        <v>20800000</v>
      </c>
      <c r="L82" s="6">
        <f t="shared" si="5"/>
        <v>22880000</v>
      </c>
      <c r="M82" s="1" t="s">
        <v>41</v>
      </c>
      <c r="N82" s="1" t="s">
        <v>87</v>
      </c>
    </row>
    <row r="83" spans="1:14" ht="18" customHeight="1">
      <c r="A83" s="1">
        <v>77</v>
      </c>
      <c r="B83" s="1">
        <v>2024</v>
      </c>
      <c r="C83" s="1" t="s">
        <v>53</v>
      </c>
      <c r="D83" s="3">
        <v>45387</v>
      </c>
      <c r="E83" s="1" t="s">
        <v>59</v>
      </c>
      <c r="F83" s="1" t="s">
        <v>71</v>
      </c>
      <c r="G83" s="1" t="s">
        <v>6</v>
      </c>
      <c r="H83" s="1" t="s">
        <v>7</v>
      </c>
      <c r="I83" s="4">
        <v>102</v>
      </c>
      <c r="J83" s="4">
        <f>VLOOKUP(H83,품목리스트!$B$5:$C$15,2,FALSE)</f>
        <v>130000</v>
      </c>
      <c r="K83" s="6">
        <f t="shared" si="4"/>
        <v>13260000</v>
      </c>
      <c r="L83" s="6">
        <f t="shared" si="5"/>
        <v>14586000</v>
      </c>
      <c r="M83" s="1" t="s">
        <v>38</v>
      </c>
      <c r="N83" s="1" t="s">
        <v>90</v>
      </c>
    </row>
    <row r="84" spans="1:14" ht="18" customHeight="1">
      <c r="A84" s="1">
        <v>78</v>
      </c>
      <c r="B84" s="1">
        <v>2024</v>
      </c>
      <c r="C84" s="1" t="s">
        <v>53</v>
      </c>
      <c r="D84" s="3">
        <v>45394</v>
      </c>
      <c r="E84" s="1" t="s">
        <v>67</v>
      </c>
      <c r="F84" s="1" t="s">
        <v>49</v>
      </c>
      <c r="G84" s="1" t="s">
        <v>12</v>
      </c>
      <c r="H84" s="1" t="s">
        <v>15</v>
      </c>
      <c r="I84" s="4">
        <v>6</v>
      </c>
      <c r="J84" s="4">
        <f>VLOOKUP(H84,품목리스트!$B$5:$C$15,2,FALSE)</f>
        <v>60000</v>
      </c>
      <c r="K84" s="6">
        <f t="shared" si="4"/>
        <v>360000</v>
      </c>
      <c r="L84" s="6">
        <f t="shared" si="5"/>
        <v>396000</v>
      </c>
      <c r="M84" s="1" t="s">
        <v>41</v>
      </c>
      <c r="N84" s="1" t="s">
        <v>88</v>
      </c>
    </row>
    <row r="85" spans="1:14" ht="18" customHeight="1">
      <c r="A85" s="1">
        <v>79</v>
      </c>
      <c r="B85" s="1">
        <v>2024</v>
      </c>
      <c r="C85" s="1" t="s">
        <v>53</v>
      </c>
      <c r="D85" s="3">
        <v>45388</v>
      </c>
      <c r="E85" s="1" t="s">
        <v>51</v>
      </c>
      <c r="F85" s="1" t="s">
        <v>73</v>
      </c>
      <c r="G85" s="1" t="s">
        <v>6</v>
      </c>
      <c r="H85" s="1" t="s">
        <v>9</v>
      </c>
      <c r="I85" s="4">
        <v>1</v>
      </c>
      <c r="J85" s="4">
        <f>VLOOKUP(H85,품목리스트!$B$5:$C$15,2,FALSE)</f>
        <v>175000</v>
      </c>
      <c r="K85" s="6">
        <f t="shared" si="4"/>
        <v>175000</v>
      </c>
      <c r="L85" s="6">
        <f t="shared" si="5"/>
        <v>192500</v>
      </c>
      <c r="M85" s="1" t="s">
        <v>38</v>
      </c>
      <c r="N85" s="1" t="s">
        <v>90</v>
      </c>
    </row>
    <row r="86" spans="1:14" ht="18" customHeight="1">
      <c r="A86" s="1">
        <v>80</v>
      </c>
      <c r="B86" s="1">
        <v>2024</v>
      </c>
      <c r="C86" s="1" t="s">
        <v>58</v>
      </c>
      <c r="D86" s="3">
        <v>45435</v>
      </c>
      <c r="E86" s="1" t="s">
        <v>51</v>
      </c>
      <c r="F86" s="1" t="s">
        <v>69</v>
      </c>
      <c r="G86" s="1" t="s">
        <v>93</v>
      </c>
      <c r="H86" s="1" t="s">
        <v>11</v>
      </c>
      <c r="I86" s="4">
        <v>91</v>
      </c>
      <c r="J86" s="4">
        <f>VLOOKUP(H86,품목리스트!$B$5:$C$15,2,FALSE)</f>
        <v>6000000</v>
      </c>
      <c r="K86" s="6">
        <f t="shared" si="4"/>
        <v>546000000</v>
      </c>
      <c r="L86" s="6">
        <f t="shared" si="5"/>
        <v>600600000</v>
      </c>
      <c r="M86" s="1" t="s">
        <v>41</v>
      </c>
      <c r="N86" s="1" t="s">
        <v>89</v>
      </c>
    </row>
    <row r="87" spans="1:14" ht="18" customHeight="1">
      <c r="A87" s="1">
        <v>81</v>
      </c>
      <c r="B87" s="1">
        <v>2024</v>
      </c>
      <c r="C87" s="1" t="s">
        <v>58</v>
      </c>
      <c r="D87" s="3">
        <v>45416</v>
      </c>
      <c r="E87" s="1" t="s">
        <v>56</v>
      </c>
      <c r="F87" s="1" t="s">
        <v>40</v>
      </c>
      <c r="G87" s="1" t="s">
        <v>93</v>
      </c>
      <c r="H87" s="1" t="s">
        <v>91</v>
      </c>
      <c r="I87" s="4">
        <v>4</v>
      </c>
      <c r="J87" s="4">
        <f>VLOOKUP(H87,품목리스트!$B$5:$C$15,2,FALSE)</f>
        <v>5200000</v>
      </c>
      <c r="K87" s="6">
        <f t="shared" si="4"/>
        <v>20800000</v>
      </c>
      <c r="L87" s="6">
        <f t="shared" si="5"/>
        <v>22880000</v>
      </c>
      <c r="M87" s="1" t="s">
        <v>41</v>
      </c>
      <c r="N87" s="1" t="s">
        <v>87</v>
      </c>
    </row>
    <row r="88" spans="1:14" ht="18" customHeight="1">
      <c r="A88" s="1">
        <v>82</v>
      </c>
      <c r="B88" s="1">
        <v>2024</v>
      </c>
      <c r="C88" s="1" t="s">
        <v>61</v>
      </c>
      <c r="D88" s="3">
        <v>45465</v>
      </c>
      <c r="E88" s="1" t="s">
        <v>62</v>
      </c>
      <c r="F88" s="1" t="s">
        <v>44</v>
      </c>
      <c r="G88" s="1" t="s">
        <v>93</v>
      </c>
      <c r="H88" s="1" t="s">
        <v>11</v>
      </c>
      <c r="I88" s="4">
        <v>89</v>
      </c>
      <c r="J88" s="4">
        <f>VLOOKUP(H88,품목리스트!$B$5:$C$15,2,FALSE)</f>
        <v>6000000</v>
      </c>
      <c r="K88" s="6">
        <f t="shared" si="4"/>
        <v>534000000</v>
      </c>
      <c r="L88" s="6">
        <f t="shared" si="5"/>
        <v>587400000</v>
      </c>
      <c r="M88" s="1" t="s">
        <v>41</v>
      </c>
      <c r="N88" s="1" t="s">
        <v>87</v>
      </c>
    </row>
    <row r="89" spans="1:14" ht="18" customHeight="1">
      <c r="A89" s="1">
        <v>83</v>
      </c>
      <c r="B89" s="1">
        <v>2024</v>
      </c>
      <c r="C89" s="1" t="s">
        <v>61</v>
      </c>
      <c r="D89" s="3">
        <v>45462</v>
      </c>
      <c r="E89" s="1" t="s">
        <v>36</v>
      </c>
      <c r="F89" s="1" t="s">
        <v>60</v>
      </c>
      <c r="G89" s="1" t="s">
        <v>6</v>
      </c>
      <c r="H89" s="1" t="s">
        <v>7</v>
      </c>
      <c r="I89" s="4">
        <v>5</v>
      </c>
      <c r="J89" s="4">
        <f>VLOOKUP(H89,품목리스트!$B$5:$C$15,2,FALSE)</f>
        <v>130000</v>
      </c>
      <c r="K89" s="6">
        <f t="shared" si="4"/>
        <v>650000</v>
      </c>
      <c r="L89" s="6">
        <f t="shared" si="5"/>
        <v>715000</v>
      </c>
      <c r="M89" s="1" t="s">
        <v>41</v>
      </c>
      <c r="N89" s="1" t="s">
        <v>90</v>
      </c>
    </row>
    <row r="90" spans="1:14" ht="18" customHeight="1">
      <c r="A90" s="1">
        <v>84</v>
      </c>
      <c r="B90" s="1">
        <v>2024</v>
      </c>
      <c r="C90" s="1" t="s">
        <v>61</v>
      </c>
      <c r="D90" s="3">
        <v>45452</v>
      </c>
      <c r="E90" s="1" t="s">
        <v>46</v>
      </c>
      <c r="F90" s="1" t="s">
        <v>49</v>
      </c>
      <c r="G90" s="1" t="s">
        <v>93</v>
      </c>
      <c r="H90" s="1" t="s">
        <v>91</v>
      </c>
      <c r="I90" s="4">
        <v>1</v>
      </c>
      <c r="J90" s="4">
        <f>VLOOKUP(H90,품목리스트!$B$5:$C$15,2,FALSE)</f>
        <v>5200000</v>
      </c>
      <c r="K90" s="6">
        <f t="shared" si="4"/>
        <v>5200000</v>
      </c>
      <c r="L90" s="6">
        <f t="shared" si="5"/>
        <v>5720000</v>
      </c>
      <c r="M90" s="1" t="s">
        <v>41</v>
      </c>
      <c r="N90" s="1" t="s">
        <v>87</v>
      </c>
    </row>
    <row r="91" spans="1:14" ht="18" customHeight="1">
      <c r="A91" s="1">
        <v>85</v>
      </c>
      <c r="B91" s="1">
        <v>2024</v>
      </c>
      <c r="C91" s="1" t="s">
        <v>61</v>
      </c>
      <c r="D91" s="3">
        <v>45449</v>
      </c>
      <c r="E91" s="1" t="s">
        <v>62</v>
      </c>
      <c r="F91" s="1" t="s">
        <v>47</v>
      </c>
      <c r="G91" s="1" t="s">
        <v>12</v>
      </c>
      <c r="H91" s="1" t="s">
        <v>13</v>
      </c>
      <c r="I91" s="4">
        <v>4</v>
      </c>
      <c r="J91" s="4">
        <f>VLOOKUP(H91,품목리스트!$B$5:$C$15,2,FALSE)</f>
        <v>4200000</v>
      </c>
      <c r="K91" s="6">
        <f t="shared" si="4"/>
        <v>16800000</v>
      </c>
      <c r="L91" s="6">
        <f t="shared" si="5"/>
        <v>18480000</v>
      </c>
      <c r="M91" s="1" t="s">
        <v>41</v>
      </c>
      <c r="N91" s="1" t="s">
        <v>89</v>
      </c>
    </row>
    <row r="92" spans="1:14" ht="18" customHeight="1">
      <c r="A92" s="1">
        <v>86</v>
      </c>
      <c r="B92" s="1">
        <v>2024</v>
      </c>
      <c r="C92" s="1" t="s">
        <v>63</v>
      </c>
      <c r="D92" s="3">
        <v>45497</v>
      </c>
      <c r="E92" s="1" t="s">
        <v>51</v>
      </c>
      <c r="F92" s="1" t="s">
        <v>57</v>
      </c>
      <c r="G92" s="1" t="s">
        <v>6</v>
      </c>
      <c r="H92" s="1" t="s">
        <v>7</v>
      </c>
      <c r="I92" s="4">
        <v>100</v>
      </c>
      <c r="J92" s="4">
        <f>VLOOKUP(H92,품목리스트!$B$5:$C$15,2,FALSE)</f>
        <v>130000</v>
      </c>
      <c r="K92" s="6">
        <f t="shared" si="4"/>
        <v>13000000</v>
      </c>
      <c r="L92" s="6">
        <f t="shared" si="5"/>
        <v>14300000</v>
      </c>
      <c r="M92" s="1" t="s">
        <v>38</v>
      </c>
      <c r="N92" s="1" t="s">
        <v>87</v>
      </c>
    </row>
    <row r="93" spans="1:14" ht="18" customHeight="1">
      <c r="A93" s="1">
        <v>87</v>
      </c>
      <c r="B93" s="1">
        <v>2024</v>
      </c>
      <c r="C93" s="1" t="s">
        <v>63</v>
      </c>
      <c r="D93" s="3">
        <v>45490</v>
      </c>
      <c r="E93" s="1" t="s">
        <v>59</v>
      </c>
      <c r="F93" s="1" t="s">
        <v>71</v>
      </c>
      <c r="G93" s="1" t="s">
        <v>93</v>
      </c>
      <c r="H93" s="1" t="s">
        <v>10</v>
      </c>
      <c r="I93" s="4">
        <v>5</v>
      </c>
      <c r="J93" s="4">
        <f>VLOOKUP(H93,품목리스트!$B$5:$C$15,2,FALSE)</f>
        <v>4500000</v>
      </c>
      <c r="K93" s="6">
        <f t="shared" si="4"/>
        <v>22500000</v>
      </c>
      <c r="L93" s="6">
        <f t="shared" si="5"/>
        <v>24750000</v>
      </c>
      <c r="M93" s="1" t="s">
        <v>38</v>
      </c>
      <c r="N93" s="1" t="s">
        <v>89</v>
      </c>
    </row>
    <row r="94" spans="1:14" ht="18" customHeight="1">
      <c r="A94" s="1">
        <v>88</v>
      </c>
      <c r="B94" s="1">
        <v>2024</v>
      </c>
      <c r="C94" s="1" t="s">
        <v>65</v>
      </c>
      <c r="D94" s="3">
        <v>45521</v>
      </c>
      <c r="E94" s="1" t="s">
        <v>36</v>
      </c>
      <c r="F94" s="1" t="s">
        <v>71</v>
      </c>
      <c r="G94" s="1" t="s">
        <v>93</v>
      </c>
      <c r="H94" s="1" t="s">
        <v>11</v>
      </c>
      <c r="I94" s="4">
        <v>91</v>
      </c>
      <c r="J94" s="4">
        <f>VLOOKUP(H94,품목리스트!$B$5:$C$15,2,FALSE)</f>
        <v>6000000</v>
      </c>
      <c r="K94" s="6">
        <f t="shared" si="4"/>
        <v>546000000</v>
      </c>
      <c r="L94" s="6">
        <f t="shared" si="5"/>
        <v>600600000</v>
      </c>
      <c r="M94" s="1" t="s">
        <v>38</v>
      </c>
      <c r="N94" s="1" t="s">
        <v>87</v>
      </c>
    </row>
    <row r="95" spans="1:14" ht="18" customHeight="1">
      <c r="A95" s="1">
        <v>89</v>
      </c>
      <c r="B95" s="1">
        <v>2024</v>
      </c>
      <c r="C95" s="1" t="s">
        <v>65</v>
      </c>
      <c r="D95" s="3">
        <v>45513</v>
      </c>
      <c r="E95" s="1" t="s">
        <v>43</v>
      </c>
      <c r="F95" s="1" t="s">
        <v>57</v>
      </c>
      <c r="G95" s="1" t="s">
        <v>6</v>
      </c>
      <c r="H95" s="1" t="s">
        <v>8</v>
      </c>
      <c r="I95" s="4">
        <v>5</v>
      </c>
      <c r="J95" s="4">
        <f>VLOOKUP(H95,품목리스트!$B$5:$C$15,2,FALSE)</f>
        <v>145000</v>
      </c>
      <c r="K95" s="6">
        <f t="shared" si="4"/>
        <v>725000</v>
      </c>
      <c r="L95" s="6">
        <f t="shared" si="5"/>
        <v>797500</v>
      </c>
      <c r="M95" s="1" t="s">
        <v>38</v>
      </c>
      <c r="N95" s="1" t="s">
        <v>87</v>
      </c>
    </row>
    <row r="96" spans="1:14" ht="18" customHeight="1">
      <c r="A96" s="1">
        <v>90</v>
      </c>
      <c r="B96" s="1">
        <v>2024</v>
      </c>
      <c r="C96" s="1" t="s">
        <v>65</v>
      </c>
      <c r="D96" s="3">
        <v>45516</v>
      </c>
      <c r="E96" s="1" t="s">
        <v>64</v>
      </c>
      <c r="F96" s="1" t="s">
        <v>47</v>
      </c>
      <c r="G96" s="1" t="s">
        <v>12</v>
      </c>
      <c r="H96" s="1" t="s">
        <v>13</v>
      </c>
      <c r="I96" s="4">
        <v>1</v>
      </c>
      <c r="J96" s="4">
        <f>VLOOKUP(H96,품목리스트!$B$5:$C$15,2,FALSE)</f>
        <v>4200000</v>
      </c>
      <c r="K96" s="6">
        <f t="shared" si="4"/>
        <v>4200000</v>
      </c>
      <c r="L96" s="6">
        <f t="shared" si="5"/>
        <v>4620000</v>
      </c>
      <c r="M96" s="1" t="s">
        <v>41</v>
      </c>
      <c r="N96" s="1" t="s">
        <v>89</v>
      </c>
    </row>
    <row r="97" spans="1:14" ht="18" customHeight="1">
      <c r="A97" s="1">
        <v>91</v>
      </c>
      <c r="B97" s="1">
        <v>2024</v>
      </c>
      <c r="C97" s="1" t="s">
        <v>68</v>
      </c>
      <c r="D97" s="3">
        <v>45538</v>
      </c>
      <c r="E97" s="1" t="s">
        <v>36</v>
      </c>
      <c r="F97" s="1" t="s">
        <v>76</v>
      </c>
      <c r="G97" s="1" t="s">
        <v>12</v>
      </c>
      <c r="H97" s="1" t="s">
        <v>13</v>
      </c>
      <c r="I97" s="4">
        <v>110</v>
      </c>
      <c r="J97" s="4">
        <f>VLOOKUP(H97,품목리스트!$B$5:$C$15,2,FALSE)</f>
        <v>4200000</v>
      </c>
      <c r="K97" s="6">
        <f t="shared" si="4"/>
        <v>462000000</v>
      </c>
      <c r="L97" s="6">
        <f t="shared" si="5"/>
        <v>508200000</v>
      </c>
      <c r="M97" s="1" t="s">
        <v>41</v>
      </c>
      <c r="N97" s="1" t="s">
        <v>88</v>
      </c>
    </row>
    <row r="98" spans="1:14" ht="18" customHeight="1">
      <c r="A98" s="1">
        <v>92</v>
      </c>
      <c r="B98" s="1">
        <v>2024</v>
      </c>
      <c r="C98" s="1" t="s">
        <v>68</v>
      </c>
      <c r="D98" s="3">
        <v>45560</v>
      </c>
      <c r="E98" s="1" t="s">
        <v>67</v>
      </c>
      <c r="F98" s="1" t="s">
        <v>76</v>
      </c>
      <c r="G98" s="1" t="s">
        <v>12</v>
      </c>
      <c r="H98" s="1" t="s">
        <v>15</v>
      </c>
      <c r="I98" s="4">
        <v>6</v>
      </c>
      <c r="J98" s="4">
        <f>VLOOKUP(H98,품목리스트!$B$5:$C$15,2,FALSE)</f>
        <v>60000</v>
      </c>
      <c r="K98" s="6">
        <f t="shared" si="4"/>
        <v>360000</v>
      </c>
      <c r="L98" s="6">
        <f t="shared" si="5"/>
        <v>396000</v>
      </c>
      <c r="M98" s="1" t="s">
        <v>41</v>
      </c>
      <c r="N98" s="1" t="s">
        <v>90</v>
      </c>
    </row>
    <row r="99" spans="1:14" ht="18" customHeight="1">
      <c r="A99" s="1">
        <v>93</v>
      </c>
      <c r="B99" s="1">
        <v>2024</v>
      </c>
      <c r="C99" s="1" t="s">
        <v>68</v>
      </c>
      <c r="D99" s="3">
        <v>45540</v>
      </c>
      <c r="E99" s="1" t="s">
        <v>46</v>
      </c>
      <c r="F99" s="1" t="s">
        <v>49</v>
      </c>
      <c r="G99" s="1" t="s">
        <v>12</v>
      </c>
      <c r="H99" s="1" t="s">
        <v>14</v>
      </c>
      <c r="I99" s="4">
        <v>4</v>
      </c>
      <c r="J99" s="4">
        <f>VLOOKUP(H99,품목리스트!$B$5:$C$15,2,FALSE)</f>
        <v>4800000</v>
      </c>
      <c r="K99" s="6">
        <f t="shared" si="4"/>
        <v>19200000</v>
      </c>
      <c r="L99" s="6">
        <f t="shared" si="5"/>
        <v>21120000</v>
      </c>
      <c r="M99" s="1" t="s">
        <v>41</v>
      </c>
      <c r="N99" s="1" t="s">
        <v>89</v>
      </c>
    </row>
    <row r="100" spans="1:14" ht="18" customHeight="1">
      <c r="A100" s="1">
        <v>94</v>
      </c>
      <c r="B100" s="1">
        <v>2024</v>
      </c>
      <c r="C100" s="1" t="s">
        <v>70</v>
      </c>
      <c r="D100" s="3">
        <v>45584</v>
      </c>
      <c r="E100" s="1" t="s">
        <v>51</v>
      </c>
      <c r="F100" s="1" t="s">
        <v>37</v>
      </c>
      <c r="G100" s="1" t="s">
        <v>93</v>
      </c>
      <c r="H100" s="1" t="s">
        <v>10</v>
      </c>
      <c r="I100" s="4">
        <v>101</v>
      </c>
      <c r="J100" s="4">
        <f>VLOOKUP(H100,품목리스트!$B$5:$C$15,2,FALSE)</f>
        <v>4500000</v>
      </c>
      <c r="K100" s="6">
        <f t="shared" si="4"/>
        <v>454500000</v>
      </c>
      <c r="L100" s="6">
        <f t="shared" si="5"/>
        <v>499950000</v>
      </c>
      <c r="M100" s="1" t="s">
        <v>38</v>
      </c>
      <c r="N100" s="1" t="s">
        <v>90</v>
      </c>
    </row>
    <row r="101" spans="1:14" ht="18" customHeight="1">
      <c r="A101" s="1">
        <v>95</v>
      </c>
      <c r="B101" s="1">
        <v>2024</v>
      </c>
      <c r="C101" s="1" t="s">
        <v>70</v>
      </c>
      <c r="D101" s="3">
        <v>45588</v>
      </c>
      <c r="E101" s="1" t="s">
        <v>67</v>
      </c>
      <c r="F101" s="1" t="s">
        <v>60</v>
      </c>
      <c r="G101" s="1" t="s">
        <v>12</v>
      </c>
      <c r="H101" s="1" t="s">
        <v>13</v>
      </c>
      <c r="I101" s="4">
        <v>5</v>
      </c>
      <c r="J101" s="4">
        <f>VLOOKUP(H101,품목리스트!$B$5:$C$15,2,FALSE)</f>
        <v>4200000</v>
      </c>
      <c r="K101" s="6">
        <f t="shared" si="4"/>
        <v>21000000</v>
      </c>
      <c r="L101" s="6">
        <f t="shared" si="5"/>
        <v>23100000</v>
      </c>
      <c r="M101" s="1" t="s">
        <v>41</v>
      </c>
      <c r="N101" s="1" t="s">
        <v>87</v>
      </c>
    </row>
    <row r="102" spans="1:14" ht="18" customHeight="1">
      <c r="A102" s="1">
        <v>96</v>
      </c>
      <c r="B102" s="1">
        <v>2024</v>
      </c>
      <c r="C102" s="1" t="s">
        <v>70</v>
      </c>
      <c r="D102" s="3">
        <v>45577</v>
      </c>
      <c r="E102" s="1" t="s">
        <v>67</v>
      </c>
      <c r="F102" s="1" t="s">
        <v>47</v>
      </c>
      <c r="G102" s="1" t="s">
        <v>16</v>
      </c>
      <c r="H102" s="1" t="s">
        <v>17</v>
      </c>
      <c r="I102" s="4">
        <v>1</v>
      </c>
      <c r="J102" s="4">
        <f>VLOOKUP(H102,품목리스트!$B$5:$C$15,2,FALSE)</f>
        <v>180000</v>
      </c>
      <c r="K102" s="6">
        <f t="shared" si="4"/>
        <v>180000</v>
      </c>
      <c r="L102" s="6">
        <f t="shared" si="5"/>
        <v>198000</v>
      </c>
      <c r="M102" s="1" t="s">
        <v>41</v>
      </c>
      <c r="N102" s="1" t="s">
        <v>89</v>
      </c>
    </row>
    <row r="103" spans="1:14" ht="18" customHeight="1">
      <c r="A103" s="1">
        <v>97</v>
      </c>
      <c r="B103" s="1">
        <v>2024</v>
      </c>
      <c r="C103" s="1" t="s">
        <v>72</v>
      </c>
      <c r="D103" s="3">
        <v>45615</v>
      </c>
      <c r="E103" s="1" t="s">
        <v>46</v>
      </c>
      <c r="F103" s="1" t="s">
        <v>47</v>
      </c>
      <c r="G103" s="1" t="s">
        <v>12</v>
      </c>
      <c r="H103" s="1" t="s">
        <v>13</v>
      </c>
      <c r="I103" s="4">
        <v>75</v>
      </c>
      <c r="J103" s="4">
        <f>VLOOKUP(H103,품목리스트!$B$5:$C$15,2,FALSE)</f>
        <v>4200000</v>
      </c>
      <c r="K103" s="6">
        <f t="shared" ref="K103:K108" si="6">ROUND(I103*J103,0)</f>
        <v>315000000</v>
      </c>
      <c r="L103" s="6">
        <f t="shared" ref="L103:L108" si="7">ROUND(K103*(1+$B$5),0)</f>
        <v>346500000</v>
      </c>
      <c r="M103" s="1" t="s">
        <v>41</v>
      </c>
      <c r="N103" s="1" t="s">
        <v>89</v>
      </c>
    </row>
    <row r="104" spans="1:14" ht="18" customHeight="1">
      <c r="A104" s="1">
        <v>98</v>
      </c>
      <c r="B104" s="1">
        <v>2024</v>
      </c>
      <c r="C104" s="1" t="s">
        <v>72</v>
      </c>
      <c r="D104" s="3">
        <v>45616</v>
      </c>
      <c r="E104" s="1" t="s">
        <v>51</v>
      </c>
      <c r="F104" s="1" t="s">
        <v>57</v>
      </c>
      <c r="G104" s="1" t="s">
        <v>93</v>
      </c>
      <c r="H104" s="1" t="s">
        <v>10</v>
      </c>
      <c r="I104" s="4">
        <v>6</v>
      </c>
      <c r="J104" s="4">
        <f>VLOOKUP(H104,품목리스트!$B$5:$C$15,2,FALSE)</f>
        <v>4500000</v>
      </c>
      <c r="K104" s="6">
        <f t="shared" si="6"/>
        <v>27000000</v>
      </c>
      <c r="L104" s="6">
        <f t="shared" si="7"/>
        <v>29700000</v>
      </c>
      <c r="M104" s="1" t="s">
        <v>38</v>
      </c>
      <c r="N104" s="1" t="s">
        <v>90</v>
      </c>
    </row>
    <row r="105" spans="1:14" ht="18" customHeight="1">
      <c r="A105" s="1">
        <v>99</v>
      </c>
      <c r="B105" s="1">
        <v>2024</v>
      </c>
      <c r="C105" s="1" t="s">
        <v>74</v>
      </c>
      <c r="D105" s="3">
        <v>45637</v>
      </c>
      <c r="E105" s="1" t="s">
        <v>46</v>
      </c>
      <c r="F105" s="1" t="s">
        <v>76</v>
      </c>
      <c r="G105" s="1" t="s">
        <v>6</v>
      </c>
      <c r="H105" s="1" t="s">
        <v>7</v>
      </c>
      <c r="I105" s="4">
        <v>102</v>
      </c>
      <c r="J105" s="4">
        <f>VLOOKUP(H105,품목리스트!$B$5:$C$15,2,FALSE)</f>
        <v>130000</v>
      </c>
      <c r="K105" s="6">
        <f t="shared" si="6"/>
        <v>13260000</v>
      </c>
      <c r="L105" s="6">
        <f t="shared" si="7"/>
        <v>14586000</v>
      </c>
      <c r="M105" s="1" t="s">
        <v>41</v>
      </c>
      <c r="N105" s="1" t="s">
        <v>90</v>
      </c>
    </row>
    <row r="106" spans="1:14" ht="18" customHeight="1">
      <c r="A106" s="1">
        <v>100</v>
      </c>
      <c r="B106" s="1">
        <v>2024</v>
      </c>
      <c r="C106" s="1" t="s">
        <v>74</v>
      </c>
      <c r="D106" s="3">
        <v>45643</v>
      </c>
      <c r="E106" s="1" t="s">
        <v>67</v>
      </c>
      <c r="F106" s="1" t="s">
        <v>40</v>
      </c>
      <c r="G106" s="1" t="s">
        <v>16</v>
      </c>
      <c r="H106" s="1" t="s">
        <v>18</v>
      </c>
      <c r="I106" s="4">
        <v>5</v>
      </c>
      <c r="J106" s="4">
        <f>VLOOKUP(H106,품목리스트!$B$5:$C$15,2,FALSE)</f>
        <v>240000</v>
      </c>
      <c r="K106" s="6">
        <f t="shared" si="6"/>
        <v>1200000</v>
      </c>
      <c r="L106" s="6">
        <f t="shared" si="7"/>
        <v>1320000</v>
      </c>
      <c r="M106" s="1" t="s">
        <v>41</v>
      </c>
      <c r="N106" s="1" t="s">
        <v>90</v>
      </c>
    </row>
    <row r="107" spans="1:14" ht="18" customHeight="1">
      <c r="A107" s="1">
        <v>101</v>
      </c>
      <c r="B107" s="1">
        <v>2024</v>
      </c>
      <c r="C107" s="1" t="s">
        <v>74</v>
      </c>
      <c r="D107" s="3">
        <v>45634</v>
      </c>
      <c r="E107" s="1" t="s">
        <v>51</v>
      </c>
      <c r="F107" s="1" t="s">
        <v>52</v>
      </c>
      <c r="G107" s="1" t="s">
        <v>6</v>
      </c>
      <c r="H107" s="1" t="s">
        <v>9</v>
      </c>
      <c r="I107" s="4">
        <v>1</v>
      </c>
      <c r="J107" s="4">
        <f>VLOOKUP(H107,품목리스트!$B$5:$C$15,2,FALSE)</f>
        <v>175000</v>
      </c>
      <c r="K107" s="6">
        <f t="shared" si="6"/>
        <v>175000</v>
      </c>
      <c r="L107" s="6">
        <f t="shared" si="7"/>
        <v>192500</v>
      </c>
      <c r="M107" s="1" t="s">
        <v>41</v>
      </c>
      <c r="N107" s="1" t="s">
        <v>90</v>
      </c>
    </row>
    <row r="108" spans="1:14" ht="18" customHeight="1">
      <c r="A108" s="1">
        <v>102</v>
      </c>
      <c r="B108" s="1">
        <v>2024</v>
      </c>
      <c r="C108" s="1" t="s">
        <v>74</v>
      </c>
      <c r="D108" s="3">
        <v>45629</v>
      </c>
      <c r="E108" s="1" t="s">
        <v>56</v>
      </c>
      <c r="F108" s="1" t="s">
        <v>71</v>
      </c>
      <c r="G108" s="1" t="s">
        <v>6</v>
      </c>
      <c r="H108" s="1" t="s">
        <v>8</v>
      </c>
      <c r="I108" s="4">
        <v>3</v>
      </c>
      <c r="J108" s="4">
        <f>VLOOKUP(H108,품목리스트!$B$5:$C$15,2,FALSE)</f>
        <v>145000</v>
      </c>
      <c r="K108" s="6">
        <f t="shared" si="6"/>
        <v>435000</v>
      </c>
      <c r="L108" s="6">
        <f t="shared" si="7"/>
        <v>478500</v>
      </c>
      <c r="M108" s="1" t="s">
        <v>38</v>
      </c>
      <c r="N108" s="1" t="s">
        <v>89</v>
      </c>
    </row>
    <row r="109" spans="1:14" ht="18" customHeight="1">
      <c r="A109" s="2" t="s">
        <v>78</v>
      </c>
      <c r="B109" s="2"/>
      <c r="C109" s="2"/>
      <c r="D109" s="2"/>
      <c r="E109" s="2"/>
      <c r="F109" s="2"/>
      <c r="G109" s="2"/>
      <c r="H109" s="2"/>
      <c r="I109" s="5">
        <f>SUM(I7:I108)</f>
        <v>3242</v>
      </c>
      <c r="J109" s="5"/>
      <c r="K109" s="5">
        <f>SUM(K7:K108)</f>
        <v>6888755000</v>
      </c>
      <c r="L109" s="5">
        <f>SUM(L7:L108)</f>
        <v>7577630500</v>
      </c>
      <c r="M109" s="2"/>
      <c r="N109" s="2"/>
    </row>
  </sheetData>
  <mergeCells count="4">
    <mergeCell ref="A1:N1"/>
    <mergeCell ref="A2:N2"/>
    <mergeCell ref="A3:N3"/>
    <mergeCell ref="A4:N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품목리스트</vt:lpstr>
      <vt:lpstr>레이저메디텍</vt:lpstr>
      <vt:lpstr>루미나레이저</vt:lpstr>
      <vt:lpstr>프로레이저솔루션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SKN 30기_1</cp:lastModifiedBy>
  <dcterms:modified xsi:type="dcterms:W3CDTF">2026-08-12T07:57:18Z</dcterms:modified>
</cp:coreProperties>
</file>